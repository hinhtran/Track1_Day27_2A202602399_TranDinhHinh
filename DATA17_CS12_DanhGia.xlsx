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90" yWindow="7815" windowWidth="28800" windowHeight="15495" tabRatio="600" firstSheet="0" activeTab="0" autoFilterDateGrouping="1"/>
  </bookViews>
  <sheets>
    <sheet xmlns:r="http://schemas.openxmlformats.org/officeDocument/2006/relationships" name="0_Hướng dẫn" sheetId="1" state="visible" r:id="rId1"/>
    <sheet xmlns:r="http://schemas.openxmlformats.org/officeDocument/2006/relationships" name="0_Tình huống" sheetId="2" state="visible" r:id="rId2"/>
    <sheet xmlns:r="http://schemas.openxmlformats.org/officeDocument/2006/relationships" name="Bài 1" sheetId="3" state="visible" r:id="rId3"/>
    <sheet xmlns:r="http://schemas.openxmlformats.org/officeDocument/2006/relationships" name="Bài 2" sheetId="4" state="visible" r:id="rId4"/>
    <sheet xmlns:r="http://schemas.openxmlformats.org/officeDocument/2006/relationships" name="Bài 3" sheetId="5" state="visible" r:id="rId5"/>
    <sheet xmlns:r="http://schemas.openxmlformats.org/officeDocument/2006/relationships" name="Bài 4" sheetId="6" state="visible" r:id="rId6"/>
    <sheet xmlns:r="http://schemas.openxmlformats.org/officeDocument/2006/relationships" name="Bài 5" sheetId="7" state="visible" r:id="rId7"/>
    <sheet xmlns:r="http://schemas.openxmlformats.org/officeDocument/2006/relationships" name="Xưởng" sheetId="8" state="visible" r:id="rId8"/>
    <sheet xmlns:r="http://schemas.openxmlformats.org/officeDocument/2006/relationships" name="Thang điểm" sheetId="9" state="visible" r:id="rId9"/>
    <sheet xmlns:r="http://schemas.openxmlformats.org/officeDocument/2006/relationships" name="Tổng hợp" sheetId="10" state="visible" r:id="rId10"/>
    <sheet xmlns:r="http://schemas.openxmlformats.org/officeDocument/2006/relationships" name="_ds" sheetId="11" state="hidden" r:id="rId11"/>
  </sheets>
  <definedNames/>
  <calcPr calcId="191029" fullCalcOnLoad="1" iterateDelta="0.0001"/>
</workbook>
</file>

<file path=xl/styles.xml><?xml version="1.0" encoding="utf-8"?>
<styleSheet xmlns="http://schemas.openxmlformats.org/spreadsheetml/2006/main">
  <numFmts count="3">
    <numFmt numFmtId="164" formatCode="#,##0;[Red]\-#,##0"/>
    <numFmt numFmtId="165" formatCode="0.0%"/>
    <numFmt numFmtId="166" formatCode="0.0"/>
  </numFmts>
  <fonts count="8">
    <font>
      <name val="Calibri"/>
      <charset val="1"/>
      <family val="2"/>
      <color theme="1"/>
      <sz val="11"/>
    </font>
    <font>
      <name val="Cambria"/>
      <charset val="1"/>
      <b val="1"/>
      <sz val="14"/>
    </font>
    <font>
      <name val="Cambria"/>
      <charset val="1"/>
      <i val="1"/>
      <color rgb="FF595959"/>
      <sz val="11"/>
    </font>
    <font>
      <name val="Calibri"/>
      <charset val="1"/>
      <b val="1"/>
      <sz val="11"/>
    </font>
    <font>
      <name val="Calibri"/>
      <charset val="1"/>
      <sz val="11"/>
    </font>
    <font>
      <name val="Cambria"/>
      <charset val="1"/>
      <b val="1"/>
      <sz val="11"/>
    </font>
    <font>
      <name val="Cambria"/>
      <charset val="1"/>
      <b val="1"/>
      <color rgb="FFFFFFFF"/>
      <sz val="11"/>
    </font>
    <font>
      <name val="Calibri"/>
      <charset val="1"/>
      <i val="1"/>
      <color rgb="FF595959"/>
      <sz val="10"/>
    </font>
  </fonts>
  <fills count="5">
    <fill>
      <patternFill/>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35">
    <xf numFmtId="0" fontId="0" fillId="0" borderId="0" pivotButton="0" quotePrefix="0" xfId="0"/>
    <xf numFmtId="0" fontId="1" fillId="0" borderId="0" applyAlignment="1" pivotButton="0" quotePrefix="0" xfId="0">
      <alignment vertical="top"/>
    </xf>
    <xf numFmtId="0" fontId="5" fillId="0" borderId="0" applyAlignment="1" pivotButton="0" quotePrefix="0" xfId="0">
      <alignment vertical="top"/>
    </xf>
    <xf numFmtId="0" fontId="6" fillId="2"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1" fontId="4" fillId="3" borderId="1" applyAlignment="1" applyProtection="1" pivotButton="0" quotePrefix="0" xfId="0">
      <alignment vertical="top" wrapText="1"/>
      <protection locked="0" hidden="0"/>
    </xf>
    <xf numFmtId="0" fontId="4" fillId="4" borderId="1" applyAlignment="1" applyProtection="1" pivotButton="0" quotePrefix="0" xfId="0">
      <alignment vertical="top" wrapText="1"/>
      <protection locked="1" hidden="1"/>
    </xf>
    <xf numFmtId="9" fontId="4" fillId="3" borderId="1" applyAlignment="1" applyProtection="1" pivotButton="0" quotePrefix="0" xfId="0">
      <alignment vertical="top" wrapText="1"/>
      <protection locked="0" hidden="0"/>
    </xf>
    <xf numFmtId="164" fontId="4" fillId="3" borderId="1" applyAlignment="1" applyProtection="1" pivotButton="0" quotePrefix="0" xfId="0">
      <alignment vertical="top" wrapText="1"/>
      <protection locked="0" hidden="0"/>
    </xf>
    <xf numFmtId="1" fontId="3" fillId="4" borderId="1" applyAlignment="1" pivotButton="0" quotePrefix="0" xfId="0">
      <alignment vertical="top" wrapText="1"/>
    </xf>
    <xf numFmtId="165" fontId="4" fillId="3" borderId="1" applyAlignment="1" applyProtection="1" pivotButton="0" quotePrefix="0" xfId="0">
      <alignment vertical="top" wrapText="1"/>
      <protection locked="0" hidden="0"/>
    </xf>
    <xf numFmtId="2" fontId="4" fillId="3" borderId="1" applyAlignment="1" applyProtection="1" pivotButton="0" quotePrefix="0" xfId="0">
      <alignment vertical="top" wrapText="1"/>
      <protection locked="0" hidden="0"/>
    </xf>
    <xf numFmtId="1" fontId="4" fillId="4" borderId="1" applyAlignment="1" pivotButton="0" quotePrefix="0" xfId="0">
      <alignment vertical="top" wrapText="1"/>
    </xf>
    <xf numFmtId="165" fontId="3" fillId="4" borderId="1" applyAlignment="1" pivotButton="0" quotePrefix="0" xfId="0">
      <alignment vertical="top" wrapText="1"/>
    </xf>
    <xf numFmtId="9" fontId="4" fillId="0" borderId="1" applyAlignment="1" pivotButton="0" quotePrefix="0" xfId="0">
      <alignment vertical="top" wrapText="1"/>
    </xf>
    <xf numFmtId="166" fontId="4" fillId="0" borderId="1" applyAlignment="1" pivotButton="0" quotePrefix="0" xfId="0">
      <alignment vertical="top" wrapText="1"/>
    </xf>
    <xf numFmtId="166" fontId="3" fillId="4" borderId="1" applyAlignment="1" pivotButton="0" quotePrefix="0" xfId="0">
      <alignment vertical="top" wrapText="1"/>
    </xf>
    <xf numFmtId="2" fontId="3" fillId="4" borderId="1" applyAlignment="1" pivotButton="0" quotePrefix="0" xfId="0">
      <alignment vertical="top" wrapText="1"/>
    </xf>
    <xf numFmtId="1" fontId="4" fillId="0" borderId="1" applyAlignment="1" pivotButton="0" quotePrefix="0" xfId="0">
      <alignment vertical="top" wrapText="1"/>
    </xf>
    <xf numFmtId="0" fontId="4" fillId="4" borderId="1" applyAlignment="1" pivotButton="0" quotePrefix="0" xfId="0">
      <alignment vertical="top" wrapText="1"/>
    </xf>
    <xf numFmtId="0" fontId="4" fillId="0" borderId="0" applyAlignment="1" pivotButton="0" quotePrefix="0" xfId="0">
      <alignment vertical="top" wrapText="1"/>
    </xf>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xf numFmtId="0" fontId="3" fillId="0" borderId="1" applyAlignment="1" pivotButton="0" quotePrefix="0" xfId="0">
      <alignment vertical="top" wrapText="1"/>
    </xf>
    <xf numFmtId="0" fontId="0" fillId="0" borderId="2" pivotButton="0" quotePrefix="0" xfId="0"/>
    <xf numFmtId="0" fontId="4" fillId="0" borderId="1" applyAlignment="1" pivotButton="0" quotePrefix="0" xfId="0">
      <alignment vertical="top" wrapText="1"/>
    </xf>
    <xf numFmtId="0" fontId="6" fillId="2" borderId="1" applyAlignment="1" pivotButton="0" quotePrefix="0" xfId="0">
      <alignment vertical="top" wrapText="1"/>
    </xf>
    <xf numFmtId="0" fontId="0" fillId="0" borderId="3" pivotButton="0" quotePrefix="0" xfId="0"/>
    <xf numFmtId="0" fontId="5" fillId="0" borderId="0" applyAlignment="1" pivotButton="0" quotePrefix="0" xfId="0">
      <alignment vertical="top" wrapText="1"/>
    </xf>
    <xf numFmtId="164" fontId="4" fillId="3" borderId="1" applyAlignment="1" applyProtection="1" pivotButton="0" quotePrefix="0" xfId="0">
      <alignment vertical="top" wrapText="1"/>
      <protection locked="0" hidden="0"/>
    </xf>
    <xf numFmtId="0" fontId="0" fillId="0" borderId="2" applyProtection="1" pivotButton="0" quotePrefix="0" xfId="0">
      <protection locked="0" hidden="0"/>
    </xf>
    <xf numFmtId="0" fontId="0" fillId="0" borderId="3" applyProtection="1" pivotButton="0" quotePrefix="0" xfId="0">
      <protection locked="0" hidden="0"/>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0"/>
  <sheetViews>
    <sheetView tabSelected="1" zoomScaleNormal="100" workbookViewId="0">
      <selection activeCell="A1" sqref="A1"/>
    </sheetView>
  </sheetViews>
  <sheetFormatPr baseColWidth="8" defaultColWidth="8.7109375" defaultRowHeight="15"/>
  <cols>
    <col width="16" customWidth="1" style="22" min="1" max="1"/>
    <col width="14" customWidth="1" style="22" min="2" max="2"/>
    <col width="70" customWidth="1" style="22" min="3" max="3"/>
    <col width="12" customWidth="1" style="22" min="4" max="4"/>
  </cols>
  <sheetData>
    <row r="1" ht="17.45" customHeight="1" s="22">
      <c r="A1" s="1" t="inlineStr">
        <is>
          <t>CS12 · Đánh giá sản phẩm AI · Bài tập buổi sáng 16/10/2026</t>
        </is>
      </c>
    </row>
    <row r="2" ht="33" customHeight="1" s="22">
      <c r="A2" s="24" t="inlineStr">
        <is>
          <t>AI in Action · Track 1 · Khóa 4. Bài tập đi kèm bộ slide "AI Evaluation" của chị Mai Anh Nguyen (66 trang). Slide của chị Mai Anh giữ nguyên; file này là phần thực hành.</t>
        </is>
      </c>
    </row>
    <row r="4" ht="33" customHeight="1" s="22">
      <c r="A4" s="23" t="inlineStr">
        <is>
          <t>Luật chơi: CHỈ điền vào ô màu VÀNG. Ô màu XANH LÁ NHẠT tự tính và đã khoá. Cột "Kiểm tra" báo Đúng hoặc Chưa đúng ngay khi điền.</t>
        </is>
      </c>
    </row>
    <row r="5" ht="33" customHeight="1" s="22">
      <c r="A5" s="21" t="inlineStr">
        <is>
          <t>Bài 1–5 (10–12 phút mỗi bài, sau mỗi phần trình chiếu): làm CÁ NHÂN, không tính điểm, để tự biết mình đã hiểu chưa. Chưa đúng: đọc lại trang slide ghi ở cột "Trang", sửa, rồi hỏi trong khung chat.</t>
        </is>
      </c>
    </row>
    <row r="6" ht="33" customHeight="1" s="22">
      <c r="A6" s="21" t="inlineStr">
        <is>
          <t>Xưởng (50 phút, cuối buổi): làm THEO NHÓM 4–6 người trong phòng nhóm. Có chấm điểm theo trang "Thang điểm". Mỗi nhóm nộp 1 file.</t>
        </is>
      </c>
    </row>
    <row r="7" ht="33" customHeight="1" s="22">
      <c r="A7" s="21" t="inlineStr">
        <is>
          <t>Mọi bài dùng chung một tình huống giả định: trợ lý đổi trả của cửa hàng Mộc Store. Đọc trang "0_Tình huống" trước Bài 1 (3 phút).</t>
        </is>
      </c>
    </row>
    <row r="8" ht="33" customHeight="1" s="22">
      <c r="A8" s="21" t="inlineStr">
        <is>
          <t>Tên file nộp: [Nhom]_CS12.xlsx · Nộp lên VLearn trước 13:00 ngày 16/10. Chỉ cần trang Xưởng đã điền; Bài 1–5 điền hay không đều được.</t>
        </is>
      </c>
    </row>
    <row r="9" ht="18" customHeight="1" s="22">
      <c r="A9" s="21" t="inlineStr">
        <is>
          <t>Tỷ lệ gõ kèm dấu % (ví dụ 84%). Số thập phân dùng dấu phẩy hay dấu chấm tùy máy; nếu ô báo "Gõ một số" thì đổi dấu.</t>
        </is>
      </c>
    </row>
    <row r="10" ht="18" customHeight="1" s="22">
      <c r="A10" s="21" t="inlineStr">
        <is>
          <t>Đáp án và giải thích: giảng viên chiếu ngay sau mỗi bài; bản đáp án đầy đủ gửi sau buổi học.</t>
        </is>
      </c>
    </row>
    <row r="12" ht="15" customHeight="1" s="22">
      <c r="A12" s="2" t="inlineStr">
        <is>
          <t>Lịch buổi sáng 16/10 (trực tuyến)</t>
        </is>
      </c>
    </row>
    <row r="13" ht="18" customHeight="1" s="22">
      <c r="A13" s="29" t="inlineStr">
        <is>
          <t>Giờ</t>
        </is>
      </c>
      <c r="B13" s="29" t="inlineStr">
        <is>
          <t>Hoạt động</t>
        </is>
      </c>
      <c r="C13" s="29" t="inlineStr">
        <is>
          <t>Nội dung</t>
        </is>
      </c>
      <c r="D13" s="29" t="inlineStr">
        <is>
          <t>Thời lượng</t>
        </is>
      </c>
    </row>
    <row r="14" ht="33" customHeight="1" s="22">
      <c r="A14" s="28" t="inlineStr">
        <is>
          <t>09:00–09:05</t>
        </is>
      </c>
      <c r="B14" s="28" t="inlineStr">
        <is>
          <t>Mở đầu</t>
        </is>
      </c>
      <c r="C14" s="28" t="inlineStr">
        <is>
          <t>Chào lớp; giới thiệu tình huống Mộc Store (slide bài tập 1–9); trợ giảng gửi đường dẫn tài liệu</t>
        </is>
      </c>
      <c r="D14" s="28" t="n"/>
    </row>
    <row r="15" ht="18" customHeight="1" s="22">
      <c r="A15" s="28" t="inlineStr">
        <is>
          <t>09:05–09:20</t>
        </is>
      </c>
      <c r="B15" s="28" t="inlineStr">
        <is>
          <t>Trình chiếu</t>
        </is>
      </c>
      <c r="C15" s="28" t="inlineStr">
        <is>
          <t>Trang 1–12: khoảng trống đánh giá, tình huống Notion AI</t>
        </is>
      </c>
      <c r="D15" s="28" t="n"/>
    </row>
    <row r="16" ht="18" customHeight="1" s="22">
      <c r="A16" s="28" t="inlineStr">
        <is>
          <t>09:20–09:40</t>
        </is>
      </c>
      <c r="B16" s="28" t="inlineStr">
        <is>
          <t>Trình chiếu</t>
        </is>
      </c>
      <c r="C16" s="28" t="inlineStr">
        <is>
          <t>Phần 01 · trang 13–23: vòng đời đánh giá, báo cáo, tài liệu yêu cầu</t>
        </is>
      </c>
      <c r="D16" s="28" t="n"/>
    </row>
    <row r="17" ht="18" customHeight="1" s="22">
      <c r="A17" s="28" t="inlineStr">
        <is>
          <t>09:40–09:50</t>
        </is>
      </c>
      <c r="B17" s="26" t="inlineStr">
        <is>
          <t>Bài 1</t>
        </is>
      </c>
      <c r="C17" s="28" t="inlineStr">
        <is>
          <t>Đọc báo cáo đánh giá và thu hẹp phạm vi</t>
        </is>
      </c>
      <c r="D17" s="28" t="inlineStr">
        <is>
          <t>10 phút</t>
        </is>
      </c>
    </row>
    <row r="18" ht="18" customHeight="1" s="22">
      <c r="A18" s="28" t="inlineStr">
        <is>
          <t>09:50–10:05</t>
        </is>
      </c>
      <c r="B18" s="28" t="inlineStr">
        <is>
          <t>Trình chiếu</t>
        </is>
      </c>
      <c r="C18" s="28" t="inlineStr">
        <is>
          <t>Phần 02 · trang 24–30: phủ ca, lưới đầu vào, ngân hàng tình huống</t>
        </is>
      </c>
      <c r="D18" s="28" t="n"/>
    </row>
    <row r="19" ht="18" customHeight="1" s="22">
      <c r="A19" s="28" t="inlineStr">
        <is>
          <t>10:05–10:17</t>
        </is>
      </c>
      <c r="B19" s="26" t="inlineStr">
        <is>
          <t>Bài 2</t>
        </is>
      </c>
      <c r="C19" s="28" t="inlineStr">
        <is>
          <t>Phủ ca và chọn tình huống</t>
        </is>
      </c>
      <c r="D19" s="28" t="inlineStr">
        <is>
          <t>12 phút</t>
        </is>
      </c>
    </row>
    <row r="20" ht="18" customHeight="1" s="22">
      <c r="A20" s="28" t="inlineStr">
        <is>
          <t>10:17–10:27</t>
        </is>
      </c>
      <c r="B20" s="28" t="inlineStr">
        <is>
          <t>Nghỉ</t>
        </is>
      </c>
      <c r="C20" s="28" t="inlineStr">
        <is>
          <t>Nghỉ 10 phút</t>
        </is>
      </c>
      <c r="D20" s="28" t="n"/>
    </row>
    <row r="21" ht="18" customHeight="1" s="22">
      <c r="A21" s="28" t="inlineStr">
        <is>
          <t>10:27–10:40</t>
        </is>
      </c>
      <c r="B21" s="28" t="inlineStr">
        <is>
          <t>Trình chiếu</t>
        </is>
      </c>
      <c r="C21" s="28" t="inlineStr">
        <is>
          <t>Phần 03 · trang 31–36: đọc vết thực thi, mã lỗi</t>
        </is>
      </c>
      <c r="D21" s="28" t="n"/>
    </row>
    <row r="22" ht="18" customHeight="1" s="22">
      <c r="A22" s="28" t="inlineStr">
        <is>
          <t>10:40–10:50</t>
        </is>
      </c>
      <c r="B22" s="26" t="inlineStr">
        <is>
          <t>Bài 3</t>
        </is>
      </c>
      <c r="C22" s="28" t="inlineStr">
        <is>
          <t>Đọc vết thực thi, tìm bước sai đầu tiên</t>
        </is>
      </c>
      <c r="D22" s="28" t="inlineStr">
        <is>
          <t>10 phút</t>
        </is>
      </c>
    </row>
    <row r="23" ht="18" customHeight="1" s="22">
      <c r="A23" s="28" t="inlineStr">
        <is>
          <t>10:50–11:12</t>
        </is>
      </c>
      <c r="B23" s="28" t="inlineStr">
        <is>
          <t>Trình chiếu</t>
        </is>
      </c>
      <c r="C23" s="28" t="inlineStr">
        <is>
          <t>Phần 04–05 · trang 37–50: chấm tự động, chấm bằng mã lệnh</t>
        </is>
      </c>
      <c r="D23" s="28" t="n"/>
    </row>
    <row r="24" ht="18" customHeight="1" s="22">
      <c r="A24" s="28" t="inlineStr">
        <is>
          <t>11:12–11:22</t>
        </is>
      </c>
      <c r="B24" s="26" t="inlineStr">
        <is>
          <t>Bài 4</t>
        </is>
      </c>
      <c r="C24" s="28" t="inlineStr">
        <is>
          <t>Chọn cách chấm và ra kết luận</t>
        </is>
      </c>
      <c r="D24" s="28" t="inlineStr">
        <is>
          <t>10 phút</t>
        </is>
      </c>
    </row>
    <row r="25" ht="18" customHeight="1" s="22">
      <c r="A25" s="28" t="inlineStr">
        <is>
          <t>11:22–11:32</t>
        </is>
      </c>
      <c r="B25" s="28" t="inlineStr">
        <is>
          <t>Nghỉ</t>
        </is>
      </c>
      <c r="C25" s="28" t="inlineStr">
        <is>
          <t>Nghỉ 10 phút</t>
        </is>
      </c>
      <c r="D25" s="28" t="n"/>
    </row>
    <row r="26" ht="18" customHeight="1" s="22">
      <c r="A26" s="28" t="inlineStr">
        <is>
          <t>11:32–11:48</t>
        </is>
      </c>
      <c r="B26" s="28" t="inlineStr">
        <is>
          <t>Trình chiếu</t>
        </is>
      </c>
      <c r="C26" s="28" t="inlineStr">
        <is>
          <t>Phần 06 · trang 51–59: hiệu chỉnh giám khảo AI</t>
        </is>
      </c>
      <c r="D26" s="28" t="n"/>
    </row>
    <row r="27" ht="18" customHeight="1" s="22">
      <c r="A27" s="28" t="inlineStr">
        <is>
          <t>11:48–11:58</t>
        </is>
      </c>
      <c r="B27" s="26" t="inlineStr">
        <is>
          <t>Bài 5</t>
        </is>
      </c>
      <c r="C27" s="28" t="inlineStr">
        <is>
          <t>Hiệu chỉnh giám khảo AI</t>
        </is>
      </c>
      <c r="D27" s="28" t="inlineStr">
        <is>
          <t>10 phút</t>
        </is>
      </c>
    </row>
    <row r="28" ht="18" customHeight="1" s="22">
      <c r="A28" s="28" t="inlineStr">
        <is>
          <t>11:58–12:06</t>
        </is>
      </c>
      <c r="B28" s="28" t="inlineStr">
        <is>
          <t>Trình chiếu</t>
        </is>
      </c>
      <c r="C28" s="28" t="inlineStr">
        <is>
          <t>Phần 07 · trang 60–66: đưa chuyên gia vào vòng lặp, tổng kết</t>
        </is>
      </c>
      <c r="D28" s="28" t="n"/>
    </row>
    <row r="29" ht="33" customHeight="1" s="22">
      <c r="A29" s="28" t="inlineStr">
        <is>
          <t>12:06–12:56</t>
        </is>
      </c>
      <c r="B29" s="26" t="inlineStr">
        <is>
          <t>Xưởng</t>
        </is>
      </c>
      <c r="C29" s="28" t="inlineStr">
        <is>
          <t>Hướng dẫn 4 phút; làm trong phòng nhóm 12:10–12:53; soát và nộp 12:53–12:56 (nhóm 4–6 người, có chấm điểm)</t>
        </is>
      </c>
      <c r="D29" s="28" t="inlineStr">
        <is>
          <t>50 phút</t>
        </is>
      </c>
    </row>
    <row r="30" ht="18" customHeight="1" s="22">
      <c r="A30" s="28" t="inlineStr">
        <is>
          <t>12:56–13:00</t>
        </is>
      </c>
      <c r="B30" s="28" t="inlineStr">
        <is>
          <t>Nộp bài</t>
        </is>
      </c>
      <c r="C30" s="28" t="inlineStr">
        <is>
          <t>Nộp file lên VLearn, kết thúc buổi sáng</t>
        </is>
      </c>
      <c r="D30" s="28" t="n"/>
    </row>
  </sheetData>
  <sheetProtection selectLockedCells="0" selectUnlockedCells="0" sheet="1" objects="0" insertRows="1" insertHyperlinks="1" autoFilter="1" scenarios="0" formatColumns="1" deleteColumns="1" insertColumns="1" pivotTables="1" deleteRows="1" formatCells="1" formatRows="1" sort="1" password="C716"/>
  <mergeCells count="8">
    <mergeCell ref="A2:D2"/>
    <mergeCell ref="A10:D10"/>
    <mergeCell ref="A5:D5"/>
    <mergeCell ref="A9:D9"/>
    <mergeCell ref="A8:D8"/>
    <mergeCell ref="A6:D6"/>
    <mergeCell ref="A4:D4"/>
    <mergeCell ref="A7:D7"/>
  </mergeCells>
  <pageMargins left="0.75" right="0.75" top="1" bottom="1" header="0.511811023622047" footer="0.511811023622047"/>
  <pageSetup orientation="landscape" paperSize="9" fitToHeight="0" horizontalDpi="300" verticalDpi="300"/>
</worksheet>
</file>

<file path=xl/worksheets/sheet2.xml><?xml version="1.0" encoding="utf-8"?>
<worksheet xmlns="http://schemas.openxmlformats.org/spreadsheetml/2006/main">
  <sheetPr>
    <outlinePr summaryBelow="1" summaryRight="1"/>
    <pageSetUpPr fitToPage="1"/>
  </sheetPr>
  <dimension ref="A1:C60"/>
  <sheetViews>
    <sheetView zoomScaleNormal="100" workbookViewId="0">
      <selection activeCell="A1" sqref="A1"/>
    </sheetView>
  </sheetViews>
  <sheetFormatPr baseColWidth="8" defaultColWidth="8.7109375" defaultRowHeight="15"/>
  <cols>
    <col width="12" customWidth="1" style="22" min="1" max="1"/>
    <col width="34" customWidth="1" style="22" min="2" max="2"/>
    <col width="70" customWidth="1" style="22" min="3" max="3"/>
  </cols>
  <sheetData>
    <row r="1" ht="17.45" customHeight="1" s="22">
      <c r="A1" s="1" t="inlineStr">
        <is>
          <t>Hồ sơ tình huống · Trợ lý đổi trả của Mộc Store (giả định)</t>
        </is>
      </c>
    </row>
    <row r="2" ht="33" customHeight="1" s="22">
      <c r="A2" s="24" t="inlineStr">
        <is>
          <t>Mộc Store là cửa hàng thời trang bán online (áo, quần, giày) qua website và Zalo. Tình huống giả định, dùng cho toàn bộ buổi sáng.</t>
        </is>
      </c>
    </row>
    <row r="3" ht="18" customHeight="1" s="22">
      <c r="A3" s="21" t="inlineStr">
        <is>
          <t>Trợ lý AI "Mộc" trả lời tin nhắn về đổi hàng, trả hàng và tình trạng đơn. Khoảng 300 tin nhắn loại này mỗi ngày.</t>
        </is>
      </c>
    </row>
    <row r="4" ht="18" customHeight="1" s="22">
      <c r="A4" s="21" t="inlineStr">
        <is>
          <t>Chuyên gia: chị Ngân, trưởng nhóm chăm sóc khách hàng, 6 năm kinh nghiệm. Chị là người định nghĩa thế nào là "đạt".</t>
        </is>
      </c>
    </row>
    <row r="6" ht="15" customHeight="1" s="22">
      <c r="A6" s="2" t="inlineStr">
        <is>
          <t>Chính sách đổi trả</t>
        </is>
      </c>
    </row>
    <row r="7" ht="18" customHeight="1" s="22">
      <c r="A7" s="29" t="inlineStr">
        <is>
          <t>Mã</t>
        </is>
      </c>
      <c r="B7" s="29" t="inlineStr">
        <is>
          <t>Nội dung</t>
        </is>
      </c>
      <c r="C7" s="29" t="inlineStr">
        <is>
          <t>Quy định</t>
        </is>
      </c>
    </row>
    <row r="8" ht="18" customHeight="1" s="22">
      <c r="A8" s="26" t="inlineStr">
        <is>
          <t>CS-1</t>
        </is>
      </c>
      <c r="B8" s="28" t="inlineStr">
        <is>
          <t>Đổi size hoặc màu</t>
        </is>
      </c>
      <c r="C8" s="28" t="inlineStr">
        <is>
          <t>Trong 7 ngày kể từ ngày nhận hàng, hàng còn tem mác. Miễn phí đổi lần đầu.</t>
        </is>
      </c>
    </row>
    <row r="9" ht="33" customHeight="1" s="22">
      <c r="A9" s="26" t="inlineStr">
        <is>
          <t>CS-2</t>
        </is>
      </c>
      <c r="B9" s="28" t="inlineStr">
        <is>
          <t>Trả hàng, hoàn tiền</t>
        </is>
      </c>
      <c r="C9" s="28" t="inlineStr">
        <is>
          <t>Trong 7 ngày kể từ ngày nhận hàng. Tiền hoàn trong 3–5 ngày làm việc sau khi kho nhận lại hàng.</t>
        </is>
      </c>
    </row>
    <row r="10" ht="33" customHeight="1" s="22">
      <c r="A10" s="26" t="inlineStr">
        <is>
          <t>CS-3</t>
        </is>
      </c>
      <c r="B10" s="28" t="inlineStr">
        <is>
          <t>Hàng lỗi (bong keo, rách, sai mẫu)</t>
        </is>
      </c>
      <c r="C10" s="28" t="inlineStr">
        <is>
          <t>Trong 30 ngày kể từ ngày nhận hàng. Trợ lý chuyển nhân viên xử lý, không tự hứa đền bù.</t>
        </is>
      </c>
    </row>
    <row r="11" ht="33" customHeight="1" s="22">
      <c r="A11" s="26" t="inlineStr">
        <is>
          <t>CS-4</t>
        </is>
      </c>
      <c r="B11" s="28" t="inlineStr">
        <is>
          <t>Tra cứu trước khi hứa</t>
        </is>
      </c>
      <c r="C11" s="28" t="inlineStr">
        <is>
          <t>Trước khi xác nhận đổi, trả hay hoàn tiền: phải tra cứu đơn (ngày nhận, trạng thái).</t>
        </is>
      </c>
    </row>
    <row r="12" ht="18" customHeight="1" s="22">
      <c r="A12" s="26" t="inlineStr">
        <is>
          <t>CS-5</t>
        </is>
      </c>
      <c r="B12" s="28" t="inlineStr">
        <is>
          <t>Thiếu mã đơn</t>
        </is>
      </c>
      <c r="C12" s="28" t="inlineStr">
        <is>
          <t>Hỏi mã đơn hoặc số điện thoại đặt hàng. Không đoán đơn.</t>
        </is>
      </c>
    </row>
    <row r="13" ht="18" customHeight="1" s="22">
      <c r="A13" s="26" t="inlineStr">
        <is>
          <t>CS-6</t>
        </is>
      </c>
      <c r="B13" s="28" t="inlineStr">
        <is>
          <t>Khách muốn gặp người</t>
        </is>
      </c>
      <c r="C13" s="28" t="inlineStr">
        <is>
          <t>Khách yêu cầu gặp nhân viên, hoặc khiếu nại hàng lỗi: chuyển nhân viên.</t>
        </is>
      </c>
    </row>
    <row r="15" ht="18" customHeight="1" s="22">
      <c r="A15" s="23" t="inlineStr">
        <is>
          <t>4 nhãn ý định (giống trang 16): Đổi hàng · Trả hàng · Tra cứu đơn · Cần làm rõ</t>
        </is>
      </c>
    </row>
    <row r="16" ht="18" customHeight="1" s="22">
      <c r="A16" s="21" t="inlineStr">
        <is>
          <t>Tin khiếu nại hàng lỗi gắn nhãn Trả hàng kèm cờ "hàng lỗi: có". Tin không rõ đơn nào hoặc không rõ muốn gì gắn nhãn Cần làm rõ.</t>
        </is>
      </c>
    </row>
    <row r="18" ht="15" customHeight="1" s="22">
      <c r="A18" s="2" t="inlineStr">
        <is>
          <t>Công cụ trợ lý gọi được</t>
        </is>
      </c>
    </row>
    <row r="19" ht="18" customHeight="1" s="22">
      <c r="A19" s="29" t="n"/>
      <c r="B19" s="29" t="inlineStr">
        <is>
          <t>Công cụ</t>
        </is>
      </c>
      <c r="C19" s="29" t="inlineStr">
        <is>
          <t>Làm gì</t>
        </is>
      </c>
    </row>
    <row r="20" ht="18" customHeight="1" s="22">
      <c r="A20" s="28" t="inlineStr">
        <is>
          <t>1</t>
        </is>
      </c>
      <c r="B20" s="26" t="inlineStr">
        <is>
          <t>tra_cuu_don</t>
        </is>
      </c>
      <c r="C20" s="28" t="inlineStr">
        <is>
          <t>tra đơn theo mã đơn hoặc số điện thoại; trả về ngày nhận hàng và trạng thái</t>
        </is>
      </c>
    </row>
    <row r="21" ht="18" customHeight="1" s="22">
      <c r="A21" s="28" t="inlineStr">
        <is>
          <t>2</t>
        </is>
      </c>
      <c r="B21" s="26" t="inlineStr">
        <is>
          <t>tao_yeu_cau_doi_tra</t>
        </is>
      </c>
      <c r="C21" s="28" t="inlineStr">
        <is>
          <t>tạo yêu cầu đổi hoặc trả cho một mã đơn</t>
        </is>
      </c>
    </row>
    <row r="22" ht="18" customHeight="1" s="22">
      <c r="A22" s="28" t="inlineStr">
        <is>
          <t>3</t>
        </is>
      </c>
      <c r="B22" s="26" t="inlineStr">
        <is>
          <t>chuyen_nhan_vien</t>
        </is>
      </c>
      <c r="C22" s="28" t="inlineStr">
        <is>
          <t>chuyển cuộc trò chuyện cho nhân viên, kèm lý do</t>
        </is>
      </c>
    </row>
    <row r="23" ht="18" customHeight="1" s="22">
      <c r="A23" s="25" t="inlineStr">
        <is>
          <t>Chưa có công cụ tra tồn kho (dùng ở Bài 4).</t>
        </is>
      </c>
    </row>
    <row r="25" ht="15" customHeight="1" s="22">
      <c r="A25" s="2" t="inlineStr">
        <is>
          <t>Mã lỗi dùng ở Bài 3 và Xưởng (trang 35)</t>
        </is>
      </c>
    </row>
    <row r="26" ht="18" customHeight="1" s="22">
      <c r="A26" s="29" t="n"/>
      <c r="B26" s="29" t="inlineStr">
        <is>
          <t>Mã lỗi</t>
        </is>
      </c>
      <c r="C26" s="29" t="inlineStr">
        <is>
          <t>Nghĩa</t>
        </is>
      </c>
    </row>
    <row r="27" ht="18" customHeight="1" s="22">
      <c r="A27" s="28" t="inlineStr">
        <is>
          <t>1</t>
        </is>
      </c>
      <c r="B27" s="26" t="inlineStr">
        <is>
          <t>wrong_intent</t>
        </is>
      </c>
      <c r="C27" s="28" t="inlineStr">
        <is>
          <t>Hiểu sai nhu cầu chính của khách</t>
        </is>
      </c>
    </row>
    <row r="28" ht="18" customHeight="1" s="22">
      <c r="A28" s="28" t="inlineStr">
        <is>
          <t>2</t>
        </is>
      </c>
      <c r="B28" s="26" t="inlineStr">
        <is>
          <t>missing_lookup</t>
        </is>
      </c>
      <c r="C28" s="28" t="inlineStr">
        <is>
          <t>Không tra cứu dữ liệu trước khi trả lời</t>
        </is>
      </c>
    </row>
    <row r="29" ht="18" customHeight="1" s="22">
      <c r="A29" s="28" t="inlineStr">
        <is>
          <t>3</t>
        </is>
      </c>
      <c r="B29" s="26" t="inlineStr">
        <is>
          <t>premature_commit</t>
        </is>
      </c>
      <c r="C29" s="28" t="inlineStr">
        <is>
          <t>Hứa kết quả khi chưa đủ điều kiện</t>
        </is>
      </c>
    </row>
    <row r="30" ht="18" customHeight="1" s="22">
      <c r="A30" s="28" t="inlineStr">
        <is>
          <t>4</t>
        </is>
      </c>
      <c r="B30" s="26" t="inlineStr">
        <is>
          <t>missing_escalation</t>
        </is>
      </c>
      <c r="C30" s="28" t="inlineStr">
        <is>
          <t>Không chuyển nhân viên khi vượt thẩm quyền</t>
        </is>
      </c>
    </row>
    <row r="31" ht="18" customHeight="1" s="22">
      <c r="A31" s="28" t="inlineStr">
        <is>
          <t>5</t>
        </is>
      </c>
      <c r="B31" s="26" t="inlineStr">
        <is>
          <t>no_next_step</t>
        </is>
      </c>
      <c r="C31" s="28" t="inlineStr">
        <is>
          <t>Đúng chính sách nhưng thiếu bước tiếp theo</t>
        </is>
      </c>
    </row>
    <row r="33" ht="15" customHeight="1" s="22">
      <c r="A33" s="2" t="inlineStr">
        <is>
          <t>Bảng đối chiếu từ ngữ: slide của chị Mai Anh ↔ bài tập</t>
        </is>
      </c>
    </row>
    <row r="34" ht="18" customHeight="1" s="22">
      <c r="A34" s="29" t="n"/>
      <c r="B34" s="29" t="inlineStr">
        <is>
          <t>Trên slide</t>
        </is>
      </c>
      <c r="C34" s="29" t="inlineStr">
        <is>
          <t>Trong bài tập</t>
        </is>
      </c>
    </row>
    <row r="35" ht="18" customHeight="1" s="22">
      <c r="A35" s="28" t="inlineStr">
        <is>
          <t>1</t>
        </is>
      </c>
      <c r="B35" s="28" t="inlineStr">
        <is>
          <t>eval, evals</t>
        </is>
      </c>
      <c r="C35" s="28" t="inlineStr">
        <is>
          <t>bài đánh giá</t>
        </is>
      </c>
    </row>
    <row r="36" ht="18" customHeight="1" s="22">
      <c r="A36" s="28" t="inlineStr">
        <is>
          <t>2</t>
        </is>
      </c>
      <c r="B36" s="28" t="inlineStr">
        <is>
          <t>reference dataset, dataset</t>
        </is>
      </c>
      <c r="C36" s="28" t="inlineStr">
        <is>
          <t>bộ đề chuẩn, bộ đề</t>
        </is>
      </c>
    </row>
    <row r="37" ht="18" customHeight="1" s="22">
      <c r="A37" s="28" t="inlineStr">
        <is>
          <t>3</t>
        </is>
      </c>
      <c r="B37" s="28" t="inlineStr">
        <is>
          <t>golden outputs</t>
        </is>
      </c>
      <c r="C37" s="28" t="inlineStr">
        <is>
          <t>đáp án mẫu</t>
        </is>
      </c>
    </row>
    <row r="38" ht="18" customHeight="1" s="22">
      <c r="A38" s="28" t="inlineStr">
        <is>
          <t>4</t>
        </is>
      </c>
      <c r="B38" s="28" t="inlineStr">
        <is>
          <t>baseline · candidate</t>
        </is>
      </c>
      <c r="C38" s="28" t="inlineStr">
        <is>
          <t>bản đang chạy · bản mới</t>
        </is>
      </c>
    </row>
    <row r="39" ht="18" customHeight="1" s="22">
      <c r="A39" s="28" t="inlineStr">
        <is>
          <t>5</t>
        </is>
      </c>
      <c r="B39" s="28" t="inlineStr">
        <is>
          <t>pass rate</t>
        </is>
      </c>
      <c r="C39" s="28" t="inlineStr">
        <is>
          <t>tỷ lệ đạt</t>
        </is>
      </c>
    </row>
    <row r="40" ht="18" customHeight="1" s="22">
      <c r="A40" s="28" t="inlineStr">
        <is>
          <t>6</t>
        </is>
      </c>
      <c r="B40" s="28" t="inlineStr">
        <is>
          <t>quality gate, threshold</t>
        </is>
      </c>
      <c r="C40" s="28" t="inlineStr">
        <is>
          <t>cổng chất lượng, ngưỡng</t>
        </is>
      </c>
    </row>
    <row r="41" ht="18" customHeight="1" s="22">
      <c r="A41" s="28" t="inlineStr">
        <is>
          <t>7</t>
        </is>
      </c>
      <c r="B41" s="28" t="inlineStr">
        <is>
          <t>regression</t>
        </is>
      </c>
      <c r="C41" s="28" t="inlineStr">
        <is>
          <t>hồi quy: ca trước đạt, nay trượt</t>
        </is>
      </c>
    </row>
    <row r="42" ht="18" customHeight="1" s="22">
      <c r="A42" s="28" t="inlineStr">
        <is>
          <t>8</t>
        </is>
      </c>
      <c r="B42" s="28" t="inlineStr">
        <is>
          <t>slice</t>
        </is>
      </c>
      <c r="C42" s="28" t="inlineStr">
        <is>
          <t>nhóm (cắt theo một thuộc tính)</t>
        </is>
      </c>
    </row>
    <row r="43" ht="18" customHeight="1" s="22">
      <c r="A43" s="28" t="inlineStr">
        <is>
          <t>9</t>
        </is>
      </c>
      <c r="B43" s="28" t="inlineStr">
        <is>
          <t>unit of AI work</t>
        </is>
      </c>
      <c r="C43" s="28" t="inlineStr">
        <is>
          <t>đơn vị công việc AI</t>
        </is>
      </c>
    </row>
    <row r="44" ht="18" customHeight="1" s="22">
      <c r="A44" s="28" t="inlineStr">
        <is>
          <t>10</t>
        </is>
      </c>
      <c r="B44" s="28" t="inlineStr">
        <is>
          <t>dimension</t>
        </is>
      </c>
      <c r="C44" s="28" t="inlineStr">
        <is>
          <t>chiều</t>
        </is>
      </c>
    </row>
    <row r="45" ht="18" customHeight="1" s="22">
      <c r="A45" s="28" t="inlineStr">
        <is>
          <t>11</t>
        </is>
      </c>
      <c r="B45" s="28" t="inlineStr">
        <is>
          <t>User Input Grid</t>
        </is>
      </c>
      <c r="C45" s="28" t="inlineStr">
        <is>
          <t>lưới đầu vào</t>
        </is>
      </c>
    </row>
    <row r="46" ht="33" customHeight="1" s="22">
      <c r="A46" s="28" t="inlineStr">
        <is>
          <t>12</t>
        </is>
      </c>
      <c r="B46" s="28" t="inlineStr">
        <is>
          <t>representative · challenge · critical regression</t>
        </is>
      </c>
      <c r="C46" s="28" t="inlineStr">
        <is>
          <t>đại diện · thử thách · hồi quy nghiêm trọng</t>
        </is>
      </c>
    </row>
    <row r="47" ht="18" customHeight="1" s="22">
      <c r="A47" s="28" t="inlineStr">
        <is>
          <t>13</t>
        </is>
      </c>
      <c r="B47" s="28" t="inlineStr">
        <is>
          <t>trace · transcript</t>
        </is>
      </c>
      <c r="C47" s="28" t="inlineStr">
        <is>
          <t>vết thực thi · lời trợ lý nói</t>
        </is>
      </c>
    </row>
    <row r="48" ht="18" customHeight="1" s="22">
      <c r="A48" s="28" t="inlineStr">
        <is>
          <t>14</t>
        </is>
      </c>
      <c r="B48" s="28" t="inlineStr">
        <is>
          <t>trace codes</t>
        </is>
      </c>
      <c r="C48" s="28" t="inlineStr">
        <is>
          <t>mã lỗi (giữ nguyên tên như trang 35)</t>
        </is>
      </c>
    </row>
    <row r="49" ht="33" customHeight="1" s="22">
      <c r="A49" s="28" t="inlineStr">
        <is>
          <t>15</t>
        </is>
      </c>
      <c r="B49" s="28" t="inlineStr">
        <is>
          <t>specification gap · architectural issue · generalization gap</t>
        </is>
      </c>
      <c r="C49" s="28" t="inlineStr">
        <is>
          <t>thiếu đặc tả · thiếu năng lực hệ thống · thiếu nhất quán</t>
        </is>
      </c>
    </row>
    <row r="50" ht="18" customHeight="1" s="22">
      <c r="A50" s="28" t="inlineStr">
        <is>
          <t>16</t>
        </is>
      </c>
      <c r="B50" s="28" t="inlineStr">
        <is>
          <t>code-based eval</t>
        </is>
      </c>
      <c r="C50" s="28" t="inlineStr">
        <is>
          <t>chấm bằng mã lệnh</t>
        </is>
      </c>
    </row>
    <row r="51" ht="18" customHeight="1" s="22">
      <c r="A51" s="28" t="inlineStr">
        <is>
          <t>17</t>
        </is>
      </c>
      <c r="B51" s="28" t="inlineStr">
        <is>
          <t>LLM judge, LLM-as-judge</t>
        </is>
      </c>
      <c r="C51" s="28" t="inlineStr">
        <is>
          <t>giám khảo AI</t>
        </is>
      </c>
    </row>
    <row r="52" ht="18" customHeight="1" s="22">
      <c r="A52" s="28" t="inlineStr">
        <is>
          <t>18</t>
        </is>
      </c>
      <c r="B52" s="28" t="inlineStr">
        <is>
          <t>referent</t>
        </is>
      </c>
      <c r="C52" s="28" t="inlineStr">
        <is>
          <t>căn cứ kiểm chứng</t>
        </is>
      </c>
    </row>
    <row r="53" ht="18" customHeight="1" s="22">
      <c r="A53" s="28" t="inlineStr">
        <is>
          <t>19</t>
        </is>
      </c>
      <c r="B53" s="28" t="inlineStr">
        <is>
          <t>calibration</t>
        </is>
      </c>
      <c r="C53" s="28" t="inlineStr">
        <is>
          <t>hiệu chỉnh</t>
        </is>
      </c>
    </row>
    <row r="54" ht="18" customHeight="1" s="22">
      <c r="A54" s="28" t="inlineStr">
        <is>
          <t>20</t>
        </is>
      </c>
      <c r="B54" s="28" t="inlineStr">
        <is>
          <t>TPR</t>
        </is>
      </c>
      <c r="C54" s="28" t="inlineStr">
        <is>
          <t>tỷ lệ nhận đúng ca đạt</t>
        </is>
      </c>
    </row>
    <row r="55" ht="18" customHeight="1" s="22">
      <c r="A55" s="28" t="inlineStr">
        <is>
          <t>21</t>
        </is>
      </c>
      <c r="B55" s="28" t="inlineStr">
        <is>
          <t>TNR</t>
        </is>
      </c>
      <c r="C55" s="28" t="inlineStr">
        <is>
          <t>tỷ lệ bắt đúng ca trượt</t>
        </is>
      </c>
    </row>
    <row r="56" ht="18" customHeight="1" s="22">
      <c r="A56" s="28" t="inlineStr">
        <is>
          <t>22</t>
        </is>
      </c>
      <c r="B56" s="28" t="inlineStr">
        <is>
          <t>near-miss example</t>
        </is>
      </c>
      <c r="C56" s="28" t="inlineStr">
        <is>
          <t>ví dụ sát ranh</t>
        </is>
      </c>
    </row>
    <row r="57" ht="18" customHeight="1" s="22">
      <c r="A57" s="28" t="inlineStr">
        <is>
          <t>23</t>
        </is>
      </c>
      <c r="B57" s="28" t="inlineStr">
        <is>
          <t>dev set · test set</t>
        </is>
      </c>
      <c r="C57" s="28" t="inlineStr">
        <is>
          <t>tập hiệu chỉnh · tập kiểm tra giữ riêng</t>
        </is>
      </c>
    </row>
    <row r="58" ht="18" customHeight="1" s="22">
      <c r="A58" s="28" t="inlineStr">
        <is>
          <t>24</t>
        </is>
      </c>
      <c r="B58" s="28" t="inlineStr">
        <is>
          <t>Ship · Iterate · Revert</t>
        </is>
      </c>
      <c r="C58" s="28" t="inlineStr">
        <is>
          <t>Phát hành · Lặp tiếp · Quay về bản cũ</t>
        </is>
      </c>
    </row>
    <row r="59" ht="18" customHeight="1" s="22">
      <c r="A59" s="28" t="inlineStr">
        <is>
          <t>25</t>
        </is>
      </c>
      <c r="B59" s="28" t="inlineStr">
        <is>
          <t>prompt · tool call · latency</t>
        </is>
      </c>
      <c r="C59" s="28" t="inlineStr">
        <is>
          <t>câu lệnh · lời gọi công cụ · thời gian phản hồi</t>
        </is>
      </c>
    </row>
    <row r="60" ht="18" customHeight="1" s="22">
      <c r="A60" s="28" t="inlineStr">
        <is>
          <t>26</t>
        </is>
      </c>
      <c r="B60" s="28" t="inlineStr">
        <is>
          <t>expert in the loop</t>
        </is>
      </c>
      <c r="C60" s="28" t="inlineStr">
        <is>
          <t>đưa chuyên gia vào vòng lặp</t>
        </is>
      </c>
    </row>
  </sheetData>
  <sheetProtection selectLockedCells="0" selectUnlockedCells="0" sheet="1" objects="0" insertRows="1" insertHyperlinks="1" autoFilter="1" scenarios="0" formatColumns="1" deleteColumns="1" insertColumns="1" pivotTables="1" deleteRows="1" formatCells="1" formatRows="1" sort="1" password="C716"/>
  <mergeCells count="6">
    <mergeCell ref="A23:C23"/>
    <mergeCell ref="A2:C2"/>
    <mergeCell ref="A3:C3"/>
    <mergeCell ref="A15:C15"/>
    <mergeCell ref="A4:C4"/>
    <mergeCell ref="A16:C16"/>
  </mergeCells>
  <pageMargins left="0.75" right="0.75" top="1" bottom="1" header="0.511811023622047" footer="0.511811023622047"/>
  <pageSetup orientation="landscape" paperSize="9" fitToHeight="0" horizontalDpi="300" verticalDpi="300"/>
</worksheet>
</file>

<file path=xl/worksheets/sheet3.xml><?xml version="1.0" encoding="utf-8"?>
<worksheet xmlns="http://schemas.openxmlformats.org/spreadsheetml/2006/main">
  <sheetPr>
    <outlinePr summaryBelow="1" summaryRight="1"/>
    <pageSetUpPr fitToPage="1"/>
  </sheetPr>
  <dimension ref="A1:E29"/>
  <sheetViews>
    <sheetView zoomScaleNormal="100" workbookViewId="0">
      <selection activeCell="A1" sqref="A1"/>
    </sheetView>
  </sheetViews>
  <sheetFormatPr baseColWidth="8" defaultColWidth="8.7109375" defaultRowHeight="15"/>
  <cols>
    <col width="7" customWidth="1" style="22" min="1" max="1"/>
    <col width="70" customWidth="1" style="22" min="2" max="2"/>
    <col width="22" customWidth="1" style="22" min="3" max="3"/>
    <col width="14" customWidth="1" style="22" min="4" max="4"/>
    <col width="13" customWidth="1" style="22" min="5" max="5"/>
  </cols>
  <sheetData>
    <row r="1" ht="17.45" customHeight="1" s="22">
      <c r="A1" s="1" t="inlineStr">
        <is>
          <t>Bài 1 · Đọc báo cáo đánh giá và thu hẹp phạm vi (10 phút) · sau Phần 01 · trang 13–23</t>
        </is>
      </c>
    </row>
    <row r="2" ht="18" customHeight="1" s="22">
      <c r="A2" s="24" t="inlineStr">
        <is>
          <t>Làm cá nhân, không tính điểm. Điền ô vàng ở cột C; cột D tự báo kết quả.</t>
        </is>
      </c>
    </row>
    <row r="4" ht="18" customHeight="1" s="22">
      <c r="A4" s="21" t="inlineStr">
        <is>
          <t>Nhóm vừa đổi câu lệnh của trợ lý Mộc (v1.3 → v1.4) và chạy lại trên bộ đề chuẩn 50 tin nhắn đã có nhãn đúng.</t>
        </is>
      </c>
    </row>
    <row r="5" ht="18" customHeight="1" s="22">
      <c r="A5" s="21" t="inlineStr">
        <is>
          <t>Cổng chất lượng chốt trước khi chạy: tỷ lệ đúng tổng từ 82% trở lên.</t>
        </is>
      </c>
    </row>
    <row r="6" ht="18" customHeight="1" s="22">
      <c r="A6" s="21" t="inlineStr">
        <is>
          <t>Có 3 tin "hồi quy" (v1.3 đúng, v1.4 sai), cả 3 nằm ở nhóm Tra cứu đơn.</t>
        </is>
      </c>
    </row>
    <row r="8" ht="33" customHeight="1" s="22">
      <c r="A8" s="29" t="inlineStr">
        <is>
          <t>Nhóm ý định</t>
        </is>
      </c>
      <c r="B8" s="27" t="n"/>
      <c r="C8" s="29" t="inlineStr">
        <is>
          <t>Số tin trong bộ đề</t>
        </is>
      </c>
      <c r="D8" s="29" t="inlineStr">
        <is>
          <t>v1.3 đúng (bản đang chạy)</t>
        </is>
      </c>
      <c r="E8" s="29" t="inlineStr">
        <is>
          <t>v1.4 đúng (bản mới)</t>
        </is>
      </c>
    </row>
    <row r="9" ht="18" customHeight="1" s="22">
      <c r="A9" s="28" t="inlineStr">
        <is>
          <t>Đổi hàng</t>
        </is>
      </c>
      <c r="B9" s="27" t="n"/>
      <c r="C9" s="28" t="n">
        <v>20</v>
      </c>
      <c r="D9" s="28" t="n">
        <v>16</v>
      </c>
      <c r="E9" s="28" t="n">
        <v>19</v>
      </c>
    </row>
    <row r="10" ht="18" customHeight="1" s="22">
      <c r="A10" s="28" t="inlineStr">
        <is>
          <t>Trả hàng</t>
        </is>
      </c>
      <c r="B10" s="27" t="n"/>
      <c r="C10" s="28" t="n">
        <v>20</v>
      </c>
      <c r="D10" s="28" t="n">
        <v>15</v>
      </c>
      <c r="E10" s="28" t="n">
        <v>17</v>
      </c>
    </row>
    <row r="11" ht="18" customHeight="1" s="22">
      <c r="A11" s="28" t="inlineStr">
        <is>
          <t>Tra cứu đơn</t>
        </is>
      </c>
      <c r="B11" s="27" t="n"/>
      <c r="C11" s="28" t="n">
        <v>10</v>
      </c>
      <c r="D11" s="28" t="n">
        <v>9</v>
      </c>
      <c r="E11" s="28" t="n">
        <v>6</v>
      </c>
    </row>
    <row r="12" ht="18" customHeight="1" s="22">
      <c r="A12" s="26" t="inlineStr">
        <is>
          <t>Tổng</t>
        </is>
      </c>
      <c r="B12" s="27" t="n"/>
      <c r="C12" s="26" t="n">
        <v>50</v>
      </c>
      <c r="D12" s="26" t="n">
        <v>40</v>
      </c>
      <c r="E12" s="26" t="n">
        <v>42</v>
      </c>
    </row>
    <row r="14" ht="33" customHeight="1" s="22">
      <c r="A14" s="21" t="inlineStr">
        <is>
          <t>Câu 1.6: A. Phát hành ngay: tổng tăng 4 điểm và đã qua cổng.  ·  B. Chưa phát hành: mở đọc 3 tin hồi quy ở nhóm Tra cứu đơn, hiểu vì sao sai rồi mới quyết định.  ·  C. Quay về v1.3: tổng chỉ tăng 2 tin, chắc chắn là nhiễu.</t>
        </is>
      </c>
    </row>
    <row r="15" ht="33" customHeight="1" s="22">
      <c r="A15" s="21" t="inlineStr">
        <is>
          <t>Câu 1.8: A. Làm khách hài lòng hơn mỗi khi đổi trả.  ·  B. Đọc 1 tin nhắn đổi trả → gắn đúng 1 trong 4 nhãn ý định, dưới 2 giây.  ·  C. Trả lời mọi câu hỏi của khách về đơn hàng và chính sách.</t>
        </is>
      </c>
    </row>
    <row r="16" ht="18" customHeight="1" s="22">
      <c r="A16" s="21" t="inlineStr">
        <is>
          <t>Câu 1.9: Trục 1. Tách theo việc  ·  Trục 2. Tách theo điều kiện đầu vào  ·  Trục 3. Tách theo mức tự chủ</t>
        </is>
      </c>
    </row>
    <row r="18" ht="18" customHeight="1" s="22">
      <c r="A18" s="29" t="inlineStr">
        <is>
          <t>Câu</t>
        </is>
      </c>
      <c r="B18" s="29" t="inlineStr">
        <is>
          <t>Đề</t>
        </is>
      </c>
      <c r="C18" s="29" t="inlineStr">
        <is>
          <t>Trả lời</t>
        </is>
      </c>
      <c r="D18" s="29" t="inlineStr">
        <is>
          <t>Kiểm tra</t>
        </is>
      </c>
      <c r="E18" s="29" t="inlineStr">
        <is>
          <t>Trang</t>
        </is>
      </c>
    </row>
    <row r="19" ht="33" customHeight="1" s="22">
      <c r="A19" s="26" t="inlineStr">
        <is>
          <t>1.1</t>
        </is>
      </c>
      <c r="B19" s="28" t="inlineStr">
        <is>
          <t>Trên bộ 50 tin, 1 tin đổi kết quả làm tỷ lệ đúng thay đổi bao nhiêu điểm phần trăm? (gõ một số)</t>
        </is>
      </c>
      <c r="C19" s="6" t="n">
        <v>2</v>
      </c>
      <c r="D19" s="7">
        <f>IF(C19="","",IF(ISNUMBER(C19),IF(ABS(C19-2)&lt;=0.01,"Đúng","Chưa đúng"),"Gõ một số"))</f>
        <v/>
      </c>
      <c r="E19" s="28" t="inlineStr">
        <is>
          <t>18</t>
        </is>
      </c>
    </row>
    <row r="20" ht="18" customHeight="1" s="22">
      <c r="A20" s="26" t="inlineStr">
        <is>
          <t>1.2</t>
        </is>
      </c>
      <c r="B20" s="28" t="inlineStr">
        <is>
          <t>Tỷ lệ đúng tổng của v1.4 là bao nhiêu? (gõ kèm %)</t>
        </is>
      </c>
      <c r="C20" s="8" t="n">
        <v>0.84</v>
      </c>
      <c r="D20" s="7">
        <f>IF(C20="","",IF(ISNUMBER(C20),IF(OR(ABS(C20-0.84)&lt;=0.006,ABS(C20-84)&lt;=0.6),"Đúng","Chưa đúng"),"Gõ một số"))</f>
        <v/>
      </c>
      <c r="E20" s="28" t="inlineStr">
        <is>
          <t>18</t>
        </is>
      </c>
    </row>
    <row r="21" ht="18" customHeight="1" s="22">
      <c r="A21" s="26" t="inlineStr">
        <is>
          <t>1.3</t>
        </is>
      </c>
      <c r="B21" s="28" t="inlineStr">
        <is>
          <t>v1.4 có qua cổng chất lượng (≥ 82%) không?  (chọn: Có / Không)</t>
        </is>
      </c>
      <c r="C21" s="32" t="inlineStr">
        <is>
          <t>Có</t>
        </is>
      </c>
      <c r="D21" s="7">
        <f>IF(C21="","",IF(C21="Có","Đúng","Chưa đúng"))</f>
        <v/>
      </c>
      <c r="E21" s="28" t="inlineStr">
        <is>
          <t>18</t>
        </is>
      </c>
    </row>
    <row r="22" ht="18" customHeight="1" s="22">
      <c r="A22" s="26" t="inlineStr">
        <is>
          <t>1.4</t>
        </is>
      </c>
      <c r="B22" s="28" t="inlineStr">
        <is>
          <t>Tỷ lệ đúng của nhóm Tra cứu đơn ở v1.4 là bao nhiêu? (gõ kèm %)</t>
        </is>
      </c>
      <c r="C22" s="8" t="n">
        <v>0.6</v>
      </c>
      <c r="D22" s="7">
        <f>IF(C22="","",IF(ISNUMBER(C22),IF(OR(ABS(C22-0.6)&lt;=0.006,ABS(C22-60)&lt;=0.6),"Đúng","Chưa đúng"),"Gõ một số"))</f>
        <v/>
      </c>
      <c r="E22" s="28" t="inlineStr">
        <is>
          <t>18</t>
        </is>
      </c>
    </row>
    <row r="23" ht="18" customHeight="1" s="22">
      <c r="A23" s="26" t="inlineStr">
        <is>
          <t>1.5</t>
        </is>
      </c>
      <c r="B23" s="28" t="inlineStr">
        <is>
          <t>Nhóm Tra cứu đơn tụt bao nhiêu điểm phần trăm? (gõ một số)</t>
        </is>
      </c>
      <c r="C23" s="6" t="n">
        <v>30</v>
      </c>
      <c r="D23" s="7">
        <f>IF(C23="","",IF(ISNUMBER(C23),IF(ABS(C23-30)&lt;=0.01,"Đúng","Chưa đúng"),"Gõ một số"))</f>
        <v/>
      </c>
      <c r="E23" s="28" t="inlineStr">
        <is>
          <t>18</t>
        </is>
      </c>
    </row>
    <row r="24" ht="18" customHeight="1" s="22">
      <c r="A24" s="26" t="inlineStr">
        <is>
          <t>1.6</t>
        </is>
      </c>
      <c r="B24" s="28" t="inlineStr">
        <is>
          <t>Kết luận nào đúng?</t>
        </is>
      </c>
      <c r="C24" s="32" t="inlineStr">
        <is>
          <t>B</t>
        </is>
      </c>
      <c r="D24" s="7">
        <f>IF(C24="","",IF(C24="B","Đúng","Chưa đúng"))</f>
        <v/>
      </c>
      <c r="E24" s="28" t="inlineStr">
        <is>
          <t>18</t>
        </is>
      </c>
    </row>
    <row r="25" ht="33" customHeight="1" s="22">
      <c r="A25" s="26" t="inlineStr">
        <is>
          <t>1.7</t>
        </is>
      </c>
      <c r="B25" s="28" t="inlineStr">
        <is>
          <t>Muốn tin một khoảng chênh 3 điểm phần trăm là thật (độ tin 95%), cần khoảng bao nhiêu ca?  (chọn: Khoảng 100 ca / Khoảng 1.000 ca / Khoảng 10.000 ca)</t>
        </is>
      </c>
      <c r="C25" s="32" t="inlineStr">
        <is>
          <t>Khoảng 1.000 ca</t>
        </is>
      </c>
      <c r="D25" s="7">
        <f>IF(C25="","",IF(C25="Khoảng 1.000 ca","Đúng","Chưa đúng"))</f>
        <v/>
      </c>
      <c r="E25" s="28" t="inlineStr">
        <is>
          <t>18</t>
        </is>
      </c>
    </row>
    <row r="26" ht="33" customHeight="1" s="22">
      <c r="A26" s="26" t="inlineStr">
        <is>
          <t>1.8</t>
        </is>
      </c>
      <c r="B26" s="28" t="inlineStr">
        <is>
          <t>Mục tiêu "Dùng AI để chăm sóc khách đổi trả tốt hơn" quá rộng. Câu nào là đơn vị công việc AI đo được?</t>
        </is>
      </c>
      <c r="C26" s="32" t="inlineStr">
        <is>
          <t>B</t>
        </is>
      </c>
      <c r="D26" s="7">
        <f>IF(C26="","",IF(C26="B","Đúng","Chưa đúng"))</f>
        <v/>
      </c>
      <c r="E26" s="28" t="inlineStr">
        <is>
          <t>23</t>
        </is>
      </c>
    </row>
    <row r="27" ht="33" customHeight="1" s="22">
      <c r="A27" s="26" t="inlineStr">
        <is>
          <t>1.9</t>
        </is>
      </c>
      <c r="B27" s="28" t="inlineStr">
        <is>
          <t>Tách "tin nhắn rõ ràng" và "tin nhắn mơ hồ" để đặt kỳ vọng khác nhau (tin mơ hồ thì hỏi lại) là thu hẹp theo trục nào?</t>
        </is>
      </c>
      <c r="C27" s="32" t="inlineStr">
        <is>
          <t>Trục 2</t>
        </is>
      </c>
      <c r="D27" s="7">
        <f>IF(C27="","",IF(C27="Trục 2","Đúng","Chưa đúng"))</f>
        <v/>
      </c>
      <c r="E27" s="28" t="inlineStr">
        <is>
          <t>23</t>
        </is>
      </c>
    </row>
    <row r="29" ht="18" customHeight="1" s="22">
      <c r="A29" s="26" t="inlineStr">
        <is>
          <t>Số câu đúng</t>
        </is>
      </c>
      <c r="B29" s="27" t="n"/>
      <c r="C29" s="10">
        <f>COUNTIF(D19:D27,"Đúng")</f>
        <v/>
      </c>
      <c r="D29" s="28" t="inlineStr">
        <is>
          <t>/ 9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13">
    <mergeCell ref="A4:E4"/>
    <mergeCell ref="A29:B29"/>
    <mergeCell ref="A2:E2"/>
    <mergeCell ref="A16:E16"/>
    <mergeCell ref="A15:E15"/>
    <mergeCell ref="A11:B11"/>
    <mergeCell ref="A10:B10"/>
    <mergeCell ref="A5:E5"/>
    <mergeCell ref="A14:E14"/>
    <mergeCell ref="A9:B9"/>
    <mergeCell ref="A6:E6"/>
    <mergeCell ref="A8:B8"/>
    <mergeCell ref="A12:B12"/>
  </mergeCells>
  <pageMargins left="0.75" right="0.75" top="1" bottom="1" header="0.511811023622047" footer="0.511811023622047"/>
  <pageSetup orientation="landscape" paperSize="9" fitToHeight="0" horizontalDpi="300" verticalDpi="300"/>
</worksheet>
</file>

<file path=xl/worksheets/sheet4.xml><?xml version="1.0" encoding="utf-8"?>
<worksheet xmlns="http://schemas.openxmlformats.org/spreadsheetml/2006/main">
  <sheetPr>
    <outlinePr summaryBelow="1" summaryRight="1"/>
    <pageSetUpPr fitToPage="1"/>
  </sheetPr>
  <dimension ref="A1:E25"/>
  <sheetViews>
    <sheetView zoomScaleNormal="100" workbookViewId="0">
      <selection activeCell="A1" sqref="A1"/>
    </sheetView>
  </sheetViews>
  <sheetFormatPr baseColWidth="8" defaultColWidth="8.7109375" defaultRowHeight="15"/>
  <cols>
    <col width="7" customWidth="1" style="22" min="1" max="1"/>
    <col width="70" customWidth="1" style="22" min="2" max="2"/>
    <col width="22" customWidth="1" style="22" min="3" max="3"/>
    <col width="14" customWidth="1" style="22" min="4" max="4"/>
    <col width="13" customWidth="1" style="22" min="5" max="5"/>
  </cols>
  <sheetData>
    <row r="1" ht="17.45" customHeight="1" s="22">
      <c r="A1" s="1" t="inlineStr">
        <is>
          <t>Bài 2 · Phủ ca và chọn tình huống (12 phút) · sau Phần 02 · trang 24–30</t>
        </is>
      </c>
    </row>
    <row r="2" ht="18" customHeight="1" s="22">
      <c r="A2" s="24" t="inlineStr">
        <is>
          <t>Làm cá nhân, không tính điểm. Điền ô vàng ở cột C; cột D tự báo kết quả.</t>
        </is>
      </c>
    </row>
    <row r="4" ht="18" customHeight="1" s="22">
      <c r="A4" s="21" t="inlineStr">
        <is>
          <t>Phép thử chiều (trang 26): đổi giá trị của một thuộc tính trong tin nhắn → hành vi đúng của trợ lý có đổi không?</t>
        </is>
      </c>
    </row>
    <row r="5" ht="18" customHeight="1" s="22">
      <c r="A5" s="21" t="inlineStr">
        <is>
          <t>Có đổi → là một chiều của lưới. Không đổi → chỉ là cách diễn đạt, để AI viết lại, không tốn một chiều.</t>
        </is>
      </c>
    </row>
    <row r="7" ht="33" customHeight="1" s="22">
      <c r="A7" s="21" t="inlineStr">
        <is>
          <t>Câu 2.14: A. Nhờ AI tạo 50 câu kiểm thử là đủ phủ.  ·  B. Người chọn ô cần thử trên lưới; AI chỉ viết thêm cách diễn đạt cho từng ô.  ·  C. Càng nhiều dòng thì bộ đề càng phủ tốt.</t>
        </is>
      </c>
    </row>
    <row r="9" ht="18" customHeight="1" s="22">
      <c r="A9" s="29" t="inlineStr">
        <is>
          <t>Câu</t>
        </is>
      </c>
      <c r="B9" s="29" t="inlineStr">
        <is>
          <t>Đề</t>
        </is>
      </c>
      <c r="C9" s="29" t="inlineStr">
        <is>
          <t>Trả lời</t>
        </is>
      </c>
      <c r="D9" s="29" t="inlineStr">
        <is>
          <t>Kiểm tra</t>
        </is>
      </c>
      <c r="E9" s="29" t="inlineStr">
        <is>
          <t>Trang</t>
        </is>
      </c>
    </row>
    <row r="10" ht="18" customHeight="1" s="22">
      <c r="A10" s="26" t="inlineStr">
        <is>
          <t>2.1</t>
        </is>
      </c>
      <c r="B10" s="28" t="inlineStr">
        <is>
          <t>Khách viết có dấu hay không dấu. Đây có phải một chiều?  (chọn: Có / Không)</t>
        </is>
      </c>
      <c r="C10" s="32" t="inlineStr">
        <is>
          <t>Không</t>
        </is>
      </c>
      <c r="D10" s="7">
        <f>IF(C10="","",IF(C10="Không","Đúng","Chưa đúng"))</f>
        <v/>
      </c>
      <c r="E10" s="28" t="inlineStr">
        <is>
          <t>26</t>
        </is>
      </c>
    </row>
    <row r="11" ht="33" customHeight="1" s="22">
      <c r="A11" s="26" t="inlineStr">
        <is>
          <t>2.2</t>
        </is>
      </c>
      <c r="B11" s="28" t="inlineStr">
        <is>
          <t>Tin nhắn có mã đơn hay không có mã đơn. Đây có phải một chiều?  (chọn: Có / Không)</t>
        </is>
      </c>
      <c r="C11" s="32" t="inlineStr">
        <is>
          <t>Có</t>
        </is>
      </c>
      <c r="D11" s="7">
        <f>IF(C11="","",IF(C11="Có","Đúng","Chưa đúng"))</f>
        <v/>
      </c>
      <c r="E11" s="28" t="inlineStr">
        <is>
          <t>26</t>
        </is>
      </c>
    </row>
    <row r="12" ht="18" customHeight="1" s="22">
      <c r="A12" s="26" t="inlineStr">
        <is>
          <t>2.3</t>
        </is>
      </c>
      <c r="B12" s="28" t="inlineStr">
        <is>
          <t>Khách nói lịch sự hay cộc lốc. Đây có phải một chiều?  (chọn: Có / Không)</t>
        </is>
      </c>
      <c r="C12" s="32" t="inlineStr">
        <is>
          <t>Không</t>
        </is>
      </c>
      <c r="D12" s="7">
        <f>IF(C12="","",IF(C12="Không","Đúng","Chưa đúng"))</f>
        <v/>
      </c>
      <c r="E12" s="28" t="inlineStr">
        <is>
          <t>26</t>
        </is>
      </c>
    </row>
    <row r="13" ht="33" customHeight="1" s="22">
      <c r="A13" s="26" t="inlineStr">
        <is>
          <t>2.4</t>
        </is>
      </c>
      <c r="B13" s="28" t="inlineStr">
        <is>
          <t>Đơn còn trong 7 ngày, đã quá 7 ngày, hay là hàng lỗi trong 30 ngày. Đây có phải một chiều?  (chọn: Có / Không)</t>
        </is>
      </c>
      <c r="C13" s="32" t="inlineStr">
        <is>
          <t>Có</t>
        </is>
      </c>
      <c r="D13" s="7">
        <f>IF(C13="","",IF(C13="Có","Đúng","Chưa đúng"))</f>
        <v/>
      </c>
      <c r="E13" s="28" t="inlineStr">
        <is>
          <t>26</t>
        </is>
      </c>
    </row>
    <row r="14" ht="33" customHeight="1" s="22">
      <c r="A14" s="26" t="inlineStr">
        <is>
          <t>2.5</t>
        </is>
      </c>
      <c r="B14" s="28" t="inlineStr">
        <is>
          <t>Tin nhắn có 1 ý hay 2 ý (một đơn muốn đổi, một đơn muốn trả). Đây có phải một chiều?  (chọn: Có / Không)</t>
        </is>
      </c>
      <c r="C14" s="32" t="inlineStr">
        <is>
          <t>Có</t>
        </is>
      </c>
      <c r="D14" s="7">
        <f>IF(C14="","",IF(C14="Có","Đúng","Chưa đúng"))</f>
        <v/>
      </c>
      <c r="E14" s="28" t="inlineStr">
        <is>
          <t>26</t>
        </is>
      </c>
    </row>
    <row r="15" ht="33" customHeight="1" s="22">
      <c r="A15" s="26" t="inlineStr">
        <is>
          <t>2.6</t>
        </is>
      </c>
      <c r="B15" s="28" t="inlineStr">
        <is>
          <t>Tin nhắn dài hay ngắn (cùng nội dung). Đây có phải một chiều?  (chọn: Có / Không)</t>
        </is>
      </c>
      <c r="C15" s="32" t="inlineStr">
        <is>
          <t>Không</t>
        </is>
      </c>
      <c r="D15" s="7">
        <f>IF(C15="","",IF(C15="Không","Đúng","Chưa đúng"))</f>
        <v/>
      </c>
      <c r="E15" s="28" t="inlineStr">
        <is>
          <t>26</t>
        </is>
      </c>
    </row>
    <row r="16" ht="48" customHeight="1" s="22">
      <c r="A16" s="26" t="inlineStr">
        <is>
          <t>2.7</t>
        </is>
      </c>
      <c r="B16" s="28" t="inlineStr">
        <is>
          <t>Nhóm chọn 3 chiều: Ý định (4 giá trị) × Độ đủ thông tin (3 giá trị: đủ, thiếu mã đơn, mơ hồ) × Tình trạng đơn (3 giá trị: trong hạn, quá hạn, hàng lỗi). Có bao nhiêu tổ hợp?</t>
        </is>
      </c>
      <c r="C16" s="6" t="n">
        <v>36</v>
      </c>
      <c r="D16" s="7">
        <f>IF(C16="","",IF(ISNUMBER(C16),IF(ABS(C16-36)&lt;=0.01,"Đúng","Chưa đúng"),"Gõ một số"))</f>
        <v/>
      </c>
      <c r="E16" s="28" t="inlineStr">
        <is>
          <t>29</t>
        </is>
      </c>
    </row>
    <row r="17" ht="18" customHeight="1" s="22">
      <c r="A17" s="26" t="inlineStr">
        <is>
          <t>2.8</t>
        </is>
      </c>
      <c r="B17" s="28" t="inlineStr">
        <is>
          <t>Nhóm loại 12 tổ hợp phi lý. Còn lại bao nhiêu tổ hợp?</t>
        </is>
      </c>
      <c r="C17" s="6" t="n">
        <v>24</v>
      </c>
      <c r="D17" s="7">
        <f>IF(C17="","",IF(ISNUMBER(C17),IF(ABS(C17-24)&lt;=0.01,"Đúng","Chưa đúng"),"Gõ một số"))</f>
        <v/>
      </c>
      <c r="E17" s="28" t="inlineStr">
        <is>
          <t>29</t>
        </is>
      </c>
    </row>
    <row r="18" ht="33" customHeight="1" s="22">
      <c r="A18" s="26" t="inlineStr">
        <is>
          <t>2.9</t>
        </is>
      </c>
      <c r="B18" s="28" t="inlineStr">
        <is>
          <t>Từ 24 tổ hợp, nhóm chọn 16 tình huống đáng thử; mỗi tình huống viết 3 cách diễn đạt. Bộ đề có bao nhiêu đầu vào?</t>
        </is>
      </c>
      <c r="C18" s="6" t="n">
        <v>48</v>
      </c>
      <c r="D18" s="7">
        <f>IF(C18="","",IF(ISNUMBER(C18),IF(ABS(C18-48)&lt;=0.01,"Đúng","Chưa đúng"),"Gõ một số"))</f>
        <v/>
      </c>
      <c r="E18" s="28" t="inlineStr">
        <is>
          <t>29</t>
        </is>
      </c>
    </row>
    <row r="19" ht="33" customHeight="1" s="22">
      <c r="A19" s="26" t="inlineStr">
        <is>
          <t>2.10</t>
        </is>
      </c>
      <c r="B19" s="28" t="inlineStr">
        <is>
          <t>"Mình nhận áo hôm qua, chật quá, đổi sang size L giúp mình, mã MS-1043." Loại tình huống?  (chọn: Đại diện / Thử thách / Hồi quy nghiêm trọng)</t>
        </is>
      </c>
      <c r="C19" s="32" t="inlineStr">
        <is>
          <t>Đại diện</t>
        </is>
      </c>
      <c r="D19" s="7">
        <f>IF(C19="","",IF(C19="Đại diện","Đúng","Chưa đúng"))</f>
        <v/>
      </c>
      <c r="E19" s="28" t="inlineStr">
        <is>
          <t>30</t>
        </is>
      </c>
    </row>
    <row r="20" ht="33" customHeight="1" s="22">
      <c r="A20" s="26" t="inlineStr">
        <is>
          <t>2.11</t>
        </is>
      </c>
      <c r="B20" s="28" t="inlineStr">
        <is>
          <t>"Cái đơn hôm bữa ấy, thôi giờ mình không lấy nữa được không?" Loại tình huống?  (chọn: Đại diện / Thử thách / Hồi quy nghiêm trọng)</t>
        </is>
      </c>
      <c r="C20" s="32" t="inlineStr">
        <is>
          <t>Thử thách</t>
        </is>
      </c>
      <c r="D20" s="7">
        <f>IF(C20="","",IF(C20="Thử thách","Đúng","Chưa đúng"))</f>
        <v/>
      </c>
      <c r="E20" s="28" t="inlineStr">
        <is>
          <t>30</t>
        </is>
      </c>
    </row>
    <row r="21" ht="33" customHeight="1" s="22">
      <c r="A21" s="26" t="inlineStr">
        <is>
          <t>2.12</t>
        </is>
      </c>
      <c r="B21" s="28" t="inlineStr">
        <is>
          <t>"Mình đặt 2 đơn, đơn MS-1050 muốn trả, đơn MS-1051 muốn đổi size." Loại tình huống?  (chọn: Đại diện / Thử thách / Hồi quy nghiêm trọng)</t>
        </is>
      </c>
      <c r="C21" s="32" t="inlineStr">
        <is>
          <t>Thử thách</t>
        </is>
      </c>
      <c r="D21" s="7">
        <f>IF(C21="","",IF(C21="Thử thách","Đúng","Chưa đúng"))</f>
        <v/>
      </c>
      <c r="E21" s="28" t="inlineStr">
        <is>
          <t>30</t>
        </is>
      </c>
    </row>
    <row r="22" ht="48" customHeight="1" s="22">
      <c r="A22" s="26" t="inlineStr">
        <is>
          <t>2.13</t>
        </is>
      </c>
      <c r="B22" s="28" t="inlineStr">
        <is>
          <t>"Đơn MS-0871 mình nhận 20 ngày rồi, trả lấy tiền được không?" Tuần trước trợ lý từng hứa hoàn tiền cho đúng kiểu tin này. Loại tình huống?  (chọn: Đại diện / Thử thách / Hồi quy nghiêm trọng)</t>
        </is>
      </c>
      <c r="C22" s="32" t="inlineStr">
        <is>
          <t>Hồi quy nghiêm trọng</t>
        </is>
      </c>
      <c r="D22" s="7">
        <f>IF(C22="","",IF(C22="Hồi quy nghiêm trọng","Đúng","Chưa đúng"))</f>
        <v/>
      </c>
      <c r="E22" s="28" t="inlineStr">
        <is>
          <t>30</t>
        </is>
      </c>
    </row>
    <row r="23" ht="18" customHeight="1" s="22">
      <c r="A23" s="26" t="inlineStr">
        <is>
          <t>2.14</t>
        </is>
      </c>
      <c r="B23" s="28" t="inlineStr">
        <is>
          <t>Câu nào đúng về việc dùng AI tạo ca kiểm thử?</t>
        </is>
      </c>
      <c r="C23" s="32" t="inlineStr">
        <is>
          <t>B</t>
        </is>
      </c>
      <c r="D23" s="7">
        <f>IF(C23="","",IF(C23="B","Đúng","Chưa đúng"))</f>
        <v/>
      </c>
      <c r="E23" s="28" t="inlineStr">
        <is>
          <t>25</t>
        </is>
      </c>
    </row>
    <row r="25" ht="18" customHeight="1" s="22">
      <c r="A25" s="26" t="inlineStr">
        <is>
          <t>Số câu đúng</t>
        </is>
      </c>
      <c r="B25" s="27" t="n"/>
      <c r="C25" s="10">
        <f>COUNTIF(D10:D23,"Đúng")</f>
        <v/>
      </c>
      <c r="D25" s="28" t="inlineStr">
        <is>
          <t>/ 14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5">
    <mergeCell ref="A4:E4"/>
    <mergeCell ref="A2:E2"/>
    <mergeCell ref="A25:B25"/>
    <mergeCell ref="A7:E7"/>
    <mergeCell ref="A5:E5"/>
  </mergeCells>
  <pageMargins left="0.75" right="0.75" top="1" bottom="1" header="0.511811023622047" footer="0.511811023622047"/>
  <pageSetup orientation="landscape" paperSize="9" fitToHeight="0" horizontalDpi="300" verticalDpi="300"/>
</worksheet>
</file>

<file path=xl/worksheets/sheet5.xml><?xml version="1.0" encoding="utf-8"?>
<worksheet xmlns="http://schemas.openxmlformats.org/spreadsheetml/2006/main">
  <sheetPr>
    <outlinePr summaryBelow="1" summaryRight="1"/>
    <pageSetUpPr fitToPage="1"/>
  </sheetPr>
  <dimension ref="A1:E39"/>
  <sheetViews>
    <sheetView zoomScaleNormal="100" workbookViewId="0">
      <selection activeCell="A1" sqref="A1"/>
    </sheetView>
  </sheetViews>
  <sheetFormatPr baseColWidth="8" defaultColWidth="8.7109375" defaultRowHeight="15"/>
  <cols>
    <col width="7" customWidth="1" style="22" min="1" max="1"/>
    <col width="70" customWidth="1" style="22" min="2" max="2"/>
    <col width="22" customWidth="1" style="22" min="3" max="3"/>
    <col width="14" customWidth="1" style="22" min="4" max="4"/>
    <col width="13" customWidth="1" style="22" min="5" max="5"/>
  </cols>
  <sheetData>
    <row r="1" ht="17.45" customHeight="1" s="22">
      <c r="A1" s="1" t="inlineStr">
        <is>
          <t>Bài 3 · Đọc vết thực thi, tìm bước sai đầu tiên (10 phút) · sau Phần 03 · trang 31–36</t>
        </is>
      </c>
    </row>
    <row r="2" ht="18" customHeight="1" s="22">
      <c r="A2" s="24" t="inlineStr">
        <is>
          <t>Làm cá nhân, không tính điểm. Điền ô vàng ở cột C; cột D tự báo kết quả.</t>
        </is>
      </c>
    </row>
    <row r="4" ht="33" customHeight="1" s="22">
      <c r="A4" s="21" t="inlineStr">
        <is>
          <t>Đọc 4 vết thực thi của trợ lý Mộc. Với mỗi vết: tìm bước sai ĐẦU TIÊN (trang 33: lỗi bắt đầu ở đâu, bước sau chỉ là hệ quả) và gắn 1 mã lỗi gốc (trang 35).</t>
        </is>
      </c>
    </row>
    <row r="5" ht="18" customHeight="1" s="22">
      <c r="A5" s="21" t="inlineStr">
        <is>
          <t>Đối chiếu với chính sách CS-1 đến CS-6 trong hồ sơ tình huống.</t>
        </is>
      </c>
    </row>
    <row r="7" ht="18" customHeight="1" s="22">
      <c r="A7" s="29" t="inlineStr">
        <is>
          <t>Vết</t>
        </is>
      </c>
      <c r="B7" s="29" t="inlineStr">
        <is>
          <t>Bước · loại · nội dung</t>
        </is>
      </c>
      <c r="C7" s="30" t="n"/>
      <c r="D7" s="30" t="n"/>
      <c r="E7" s="27" t="n"/>
    </row>
    <row r="8" ht="18" customHeight="1" s="22">
      <c r="A8" s="26" t="inlineStr">
        <is>
          <t>T1</t>
        </is>
      </c>
      <c r="B8" s="28" t="inlineStr">
        <is>
          <t>1 · Khách: "Đơn MS-1043 mình nhận hôm qua, áo chật, đổi size L được không?"</t>
        </is>
      </c>
      <c r="C8" s="30" t="n"/>
      <c r="D8" s="30" t="n"/>
      <c r="E8" s="27" t="n"/>
    </row>
    <row r="9" ht="18" customHeight="1" s="22">
      <c r="A9" s="26" t="n"/>
      <c r="B9" s="28" t="inlineStr">
        <is>
          <t>2 · Phân loại ý định: Tra cứu đơn</t>
        </is>
      </c>
      <c r="C9" s="30" t="n"/>
      <c r="D9" s="30" t="n"/>
      <c r="E9" s="27" t="n"/>
    </row>
    <row r="10" ht="18" customHeight="1" s="22">
      <c r="A10" s="26" t="n"/>
      <c r="B10" s="28" t="inlineStr">
        <is>
          <t>3 · Công cụ: tra_cuu_don(MS-1043) → đã giao ngày 13/10</t>
        </is>
      </c>
      <c r="C10" s="30" t="n"/>
      <c r="D10" s="30" t="n"/>
      <c r="E10" s="27" t="n"/>
    </row>
    <row r="11" ht="18" customHeight="1" s="22">
      <c r="A11" s="26" t="n"/>
      <c r="B11" s="28" t="inlineStr">
        <is>
          <t>4 · Trả lời: "Đơn MS-1043 đã giao thành công ngày 13/10. Bạn cần hỗ trợ gì thêm không ạ?"</t>
        </is>
      </c>
      <c r="C11" s="30" t="n"/>
      <c r="D11" s="30" t="n"/>
      <c r="E11" s="27" t="n"/>
    </row>
    <row r="12" ht="18" customHeight="1" s="22">
      <c r="A12" s="26" t="n"/>
      <c r="B12" s="28" t="inlineStr">
        <is>
          <t>5 · Phản hồi: Không thích: "mình hỏi đổi size mà"</t>
        </is>
      </c>
      <c r="C12" s="30" t="n"/>
      <c r="D12" s="30" t="n"/>
      <c r="E12" s="27" t="n"/>
    </row>
    <row r="13" ht="18" customHeight="1" s="22">
      <c r="A13" s="26" t="inlineStr">
        <is>
          <t>T2</t>
        </is>
      </c>
      <c r="B13" s="28" t="inlineStr">
        <is>
          <t>1 · Khách: "Mình muốn trả đôi giày mua tháng trước, hoàn tiền giúp mình." (không có mã đơn)</t>
        </is>
      </c>
      <c r="C13" s="30" t="n"/>
      <c r="D13" s="30" t="n"/>
      <c r="E13" s="27" t="n"/>
    </row>
    <row r="14" ht="18" customHeight="1" s="22">
      <c r="A14" s="26" t="n"/>
      <c r="B14" s="28" t="inlineStr">
        <is>
          <t>2 · Phân loại ý định: Trả hàng</t>
        </is>
      </c>
      <c r="C14" s="30" t="n"/>
      <c r="D14" s="30" t="n"/>
      <c r="E14" s="27" t="n"/>
    </row>
    <row r="15" ht="18" customHeight="1" s="22">
      <c r="A15" s="26" t="n"/>
      <c r="B15" s="28" t="inlineStr">
        <is>
          <t>3 · Công cụ: (không gọi công cụ nào)</t>
        </is>
      </c>
      <c r="C15" s="30" t="n"/>
      <c r="D15" s="30" t="n"/>
      <c r="E15" s="27" t="n"/>
    </row>
    <row r="16" ht="18" customHeight="1" s="22">
      <c r="A16" s="26" t="n"/>
      <c r="B16" s="28" t="inlineStr">
        <is>
          <t>4 · Trả lời: "Dạ shop đã ghi nhận, tiền sẽ về tài khoản bạn trong 3–5 ngày ạ."</t>
        </is>
      </c>
      <c r="C16" s="30" t="n"/>
      <c r="D16" s="30" t="n"/>
      <c r="E16" s="27" t="n"/>
    </row>
    <row r="17" ht="18" customHeight="1" s="22">
      <c r="A17" s="26" t="inlineStr">
        <is>
          <t>T3</t>
        </is>
      </c>
      <c r="B17" s="28" t="inlineStr">
        <is>
          <t>1 · Khách: "Giày mua 20 ngày, đế bong hết rồi. Cho mình gặp người phụ trách." Mã MS-0990</t>
        </is>
      </c>
      <c r="C17" s="30" t="n"/>
      <c r="D17" s="30" t="n"/>
      <c r="E17" s="27" t="n"/>
    </row>
    <row r="18" ht="18" customHeight="1" s="22">
      <c r="A18" s="26" t="n"/>
      <c r="B18" s="28" t="inlineStr">
        <is>
          <t>2 · Phân loại ý định: Trả hàng · dấu hiệu hàng lỗi: có</t>
        </is>
      </c>
      <c r="C18" s="30" t="n"/>
      <c r="D18" s="30" t="n"/>
      <c r="E18" s="27" t="n"/>
    </row>
    <row r="19" ht="18" customHeight="1" s="22">
      <c r="A19" s="26" t="n"/>
      <c r="B19" s="28" t="inlineStr">
        <is>
          <t>3 · Công cụ: tra_cuu_don(MS-0990) → nhận hàng 20 ngày trước</t>
        </is>
      </c>
      <c r="C19" s="30" t="n"/>
      <c r="D19" s="30" t="n"/>
      <c r="E19" s="27" t="n"/>
    </row>
    <row r="20" ht="18" customHeight="1" s="22">
      <c r="A20" s="26" t="n"/>
      <c r="B20" s="28" t="inlineStr">
        <is>
          <t>4 · Trả lời: "Theo chính sách, đơn quá 7 ngày không được đổi trả ạ." (không gọi chuyen_nhan_vien)</t>
        </is>
      </c>
      <c r="C20" s="30" t="n"/>
      <c r="D20" s="30" t="n"/>
      <c r="E20" s="27" t="n"/>
    </row>
    <row r="21" ht="18" customHeight="1" s="22">
      <c r="A21" s="26" t="inlineStr">
        <is>
          <t>T4</t>
        </is>
      </c>
      <c r="B21" s="28" t="inlineStr">
        <is>
          <t>1 · Khách: "Áo chật quá, đổi size M sang L được không? Mã MS-1102."</t>
        </is>
      </c>
      <c r="C21" s="30" t="n"/>
      <c r="D21" s="30" t="n"/>
      <c r="E21" s="27" t="n"/>
    </row>
    <row r="22" ht="18" customHeight="1" s="22">
      <c r="A22" s="26" t="n"/>
      <c r="B22" s="28" t="inlineStr">
        <is>
          <t>2 · Phân loại ý định: Đổi hàng</t>
        </is>
      </c>
      <c r="C22" s="30" t="n"/>
      <c r="D22" s="30" t="n"/>
      <c r="E22" s="27" t="n"/>
    </row>
    <row r="23" ht="18" customHeight="1" s="22">
      <c r="A23" s="26" t="n"/>
      <c r="B23" s="28" t="inlineStr">
        <is>
          <t>3 · Công cụ: tra_cuu_don(MS-1102) → nhận hàng 2 ngày trước</t>
        </is>
      </c>
      <c r="C23" s="30" t="n"/>
      <c r="D23" s="30" t="n"/>
      <c r="E23" s="27" t="n"/>
    </row>
    <row r="24" ht="18" customHeight="1" s="22">
      <c r="A24" s="26" t="n"/>
      <c r="B24" s="28" t="inlineStr">
        <is>
          <t>4 · Trả lời: "Dạ đơn MS-1102 vẫn trong hạn đổi 7 ngày ạ." (kết thúc)</t>
        </is>
      </c>
      <c r="C24" s="30" t="n"/>
      <c r="D24" s="30" t="n"/>
      <c r="E24" s="27" t="n"/>
    </row>
    <row r="26" ht="33" customHeight="1" s="22">
      <c r="A26" s="21" t="inlineStr">
        <is>
          <t>Câu 3.9: A. Lời trả lời trôi chảy, nghe chắc chắn; chỉ vết thực thi mới cho thấy không có bước tra cứu.  ·  B. Vì khách không phàn nàn gì.  ·  C. Vì câu trả lời quá ngắn.</t>
        </is>
      </c>
    </row>
    <row r="28" ht="18" customHeight="1" s="22">
      <c r="A28" s="29" t="inlineStr">
        <is>
          <t>Câu</t>
        </is>
      </c>
      <c r="B28" s="29" t="inlineStr">
        <is>
          <t>Đề</t>
        </is>
      </c>
      <c r="C28" s="29" t="inlineStr">
        <is>
          <t>Trả lời</t>
        </is>
      </c>
      <c r="D28" s="29" t="inlineStr">
        <is>
          <t>Kiểm tra</t>
        </is>
      </c>
      <c r="E28" s="29" t="inlineStr">
        <is>
          <t>Trang</t>
        </is>
      </c>
    </row>
    <row r="29" ht="18" customHeight="1" s="22">
      <c r="A29" s="26" t="inlineStr">
        <is>
          <t>3.1</t>
        </is>
      </c>
      <c r="B29" s="28" t="inlineStr">
        <is>
          <t>T1 · Bước sai đầu tiên là bước số mấy?</t>
        </is>
      </c>
      <c r="C29" s="6" t="n">
        <v>2</v>
      </c>
      <c r="D29" s="7">
        <f>IF(C29="","",IF(ISNUMBER(C29),IF(ABS(C29-2)&lt;=0.01,"Đúng","Chưa đúng"),"Gõ một số"))</f>
        <v/>
      </c>
      <c r="E29" s="28" t="inlineStr">
        <is>
          <t>33</t>
        </is>
      </c>
    </row>
    <row r="30" ht="33" customHeight="1" s="22">
      <c r="A30" s="26" t="inlineStr">
        <is>
          <t>3.2</t>
        </is>
      </c>
      <c r="B30" s="28" t="inlineStr">
        <is>
          <t>T1 · Mã lỗi gốc là gì?  (chọn: wrong_intent / missing_lookup / premature_commit / missing_escalation / no_next_step)</t>
        </is>
      </c>
      <c r="C30" s="32" t="inlineStr">
        <is>
          <t>wrong_intent</t>
        </is>
      </c>
      <c r="D30" s="7">
        <f>IF(C30="","",IF(C30="wrong_intent","Đúng","Chưa đúng"))</f>
        <v/>
      </c>
      <c r="E30" s="28" t="inlineStr">
        <is>
          <t>35</t>
        </is>
      </c>
    </row>
    <row r="31" ht="18" customHeight="1" s="22">
      <c r="A31" s="26" t="inlineStr">
        <is>
          <t>3.3</t>
        </is>
      </c>
      <c r="B31" s="28" t="inlineStr">
        <is>
          <t>T2 · Bước sai đầu tiên là bước số mấy?</t>
        </is>
      </c>
      <c r="C31" s="6" t="n">
        <v>3</v>
      </c>
      <c r="D31" s="7">
        <f>IF(C31="","",IF(ISNUMBER(C31),IF(ABS(C31-3)&lt;=0.01,"Đúng","Chưa đúng"),"Gõ một số"))</f>
        <v/>
      </c>
      <c r="E31" s="28" t="inlineStr">
        <is>
          <t>33</t>
        </is>
      </c>
    </row>
    <row r="32" ht="33" customHeight="1" s="22">
      <c r="A32" s="26" t="inlineStr">
        <is>
          <t>3.4</t>
        </is>
      </c>
      <c r="B32" s="28" t="inlineStr">
        <is>
          <t>T2 · Mã lỗi gốc là gì?  (chọn: wrong_intent / missing_lookup / premature_commit / missing_escalation / no_next_step)</t>
        </is>
      </c>
      <c r="C32" s="32" t="inlineStr">
        <is>
          <t>missing_lookup</t>
        </is>
      </c>
      <c r="D32" s="7">
        <f>IF(C32="","",IF(C32="missing_lookup","Đúng","Chưa đúng"))</f>
        <v/>
      </c>
      <c r="E32" s="28" t="inlineStr">
        <is>
          <t>35</t>
        </is>
      </c>
    </row>
    <row r="33" ht="18" customHeight="1" s="22">
      <c r="A33" s="26" t="inlineStr">
        <is>
          <t>3.5</t>
        </is>
      </c>
      <c r="B33" s="28" t="inlineStr">
        <is>
          <t>T3 · Bước sai đầu tiên là bước số mấy?</t>
        </is>
      </c>
      <c r="C33" s="6" t="n">
        <v>4</v>
      </c>
      <c r="D33" s="7">
        <f>IF(C33="","",IF(ISNUMBER(C33),IF(ABS(C33-4)&lt;=0.01,"Đúng","Chưa đúng"),"Gõ một số"))</f>
        <v/>
      </c>
      <c r="E33" s="28" t="inlineStr">
        <is>
          <t>33</t>
        </is>
      </c>
    </row>
    <row r="34" ht="33" customHeight="1" s="22">
      <c r="A34" s="26" t="inlineStr">
        <is>
          <t>3.6</t>
        </is>
      </c>
      <c r="B34" s="28" t="inlineStr">
        <is>
          <t>T3 · Mã lỗi gốc là gì?  (chọn: wrong_intent / missing_lookup / premature_commit / missing_escalation / no_next_step)</t>
        </is>
      </c>
      <c r="C34" s="32" t="inlineStr">
        <is>
          <t>missing_escalation</t>
        </is>
      </c>
      <c r="D34" s="7">
        <f>IF(C34="","",IF(C34="missing_escalation","Đúng","Chưa đúng"))</f>
        <v/>
      </c>
      <c r="E34" s="28" t="inlineStr">
        <is>
          <t>35</t>
        </is>
      </c>
    </row>
    <row r="35" ht="18" customHeight="1" s="22">
      <c r="A35" s="26" t="inlineStr">
        <is>
          <t>3.7</t>
        </is>
      </c>
      <c r="B35" s="28" t="inlineStr">
        <is>
          <t>T4 · Bước sai đầu tiên là bước số mấy?</t>
        </is>
      </c>
      <c r="C35" s="6" t="n">
        <v>4</v>
      </c>
      <c r="D35" s="7">
        <f>IF(C35="","",IF(ISNUMBER(C35),IF(ABS(C35-4)&lt;=0.01,"Đúng","Chưa đúng"),"Gõ một số"))</f>
        <v/>
      </c>
      <c r="E35" s="28" t="inlineStr">
        <is>
          <t>33</t>
        </is>
      </c>
    </row>
    <row r="36" ht="33" customHeight="1" s="22">
      <c r="A36" s="26" t="inlineStr">
        <is>
          <t>3.8</t>
        </is>
      </c>
      <c r="B36" s="28" t="inlineStr">
        <is>
          <t>T4 · Mã lỗi gốc là gì?  (chọn: wrong_intent / missing_lookup / premature_commit / missing_escalation / no_next_step)</t>
        </is>
      </c>
      <c r="C36" s="32" t="inlineStr">
        <is>
          <t>no_next_step</t>
        </is>
      </c>
      <c r="D36" s="7">
        <f>IF(C36="","",IF(C36="no_next_step","Đúng","Chưa đúng"))</f>
        <v/>
      </c>
      <c r="E36" s="28" t="inlineStr">
        <is>
          <t>35</t>
        </is>
      </c>
    </row>
    <row r="37" ht="18" customHeight="1" s="22">
      <c r="A37" s="26" t="inlineStr">
        <is>
          <t>3.9</t>
        </is>
      </c>
      <c r="B37" s="28" t="inlineStr">
        <is>
          <t>T2 · Vì sao chỉ đọc lời trợ lý nói thì không thấy lỗi?</t>
        </is>
      </c>
      <c r="C37" s="32" t="inlineStr">
        <is>
          <t>A</t>
        </is>
      </c>
      <c r="D37" s="7">
        <f>IF(C37="","",IF(C37="A","Đúng","Chưa đúng"))</f>
        <v/>
      </c>
      <c r="E37" s="28" t="inlineStr">
        <is>
          <t>32</t>
        </is>
      </c>
    </row>
    <row r="39" ht="18" customHeight="1" s="22">
      <c r="A39" s="26" t="inlineStr">
        <is>
          <t>Số câu đúng</t>
        </is>
      </c>
      <c r="B39" s="27" t="n"/>
      <c r="C39" s="10">
        <f>COUNTIF(D29:D37,"Đúng")</f>
        <v/>
      </c>
      <c r="D39" s="28" t="inlineStr">
        <is>
          <t>/ 9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23">
    <mergeCell ref="A39:B39"/>
    <mergeCell ref="B7:E7"/>
    <mergeCell ref="B22:E22"/>
    <mergeCell ref="B18:E18"/>
    <mergeCell ref="A26:E26"/>
    <mergeCell ref="A2:E2"/>
    <mergeCell ref="B12:E12"/>
    <mergeCell ref="B21:E21"/>
    <mergeCell ref="A5:E5"/>
    <mergeCell ref="B11:E11"/>
    <mergeCell ref="B14:E14"/>
    <mergeCell ref="B17:E17"/>
    <mergeCell ref="B23:E23"/>
    <mergeCell ref="A4:E4"/>
    <mergeCell ref="B8:E8"/>
    <mergeCell ref="B13:E13"/>
    <mergeCell ref="B19:E19"/>
    <mergeCell ref="B9:E9"/>
    <mergeCell ref="B15:E15"/>
    <mergeCell ref="B24:E24"/>
    <mergeCell ref="B20:E20"/>
    <mergeCell ref="B16:E16"/>
    <mergeCell ref="B10:E10"/>
  </mergeCells>
  <pageMargins left="0.75" right="0.75" top="1" bottom="1" header="0.511811023622047" footer="0.511811023622047"/>
  <pageSetup orientation="landscape" paperSize="9" fitToHeight="0" horizontalDpi="300" verticalDpi="300"/>
</worksheet>
</file>

<file path=xl/worksheets/sheet6.xml><?xml version="1.0" encoding="utf-8"?>
<worksheet xmlns="http://schemas.openxmlformats.org/spreadsheetml/2006/main">
  <sheetPr>
    <outlinePr summaryBelow="1" summaryRight="1"/>
    <pageSetUpPr fitToPage="1"/>
  </sheetPr>
  <dimension ref="A1:E33"/>
  <sheetViews>
    <sheetView zoomScaleNormal="100" workbookViewId="0">
      <selection activeCell="A1" sqref="A1"/>
    </sheetView>
  </sheetViews>
  <sheetFormatPr baseColWidth="8" defaultColWidth="8.7109375" defaultRowHeight="15"/>
  <cols>
    <col width="7" customWidth="1" style="22" min="1" max="1"/>
    <col width="70" customWidth="1" style="22" min="2" max="2"/>
    <col width="22" customWidth="1" style="22" min="3" max="3"/>
    <col width="14" customWidth="1" style="22" min="4" max="4"/>
    <col width="13" customWidth="1" style="22" min="5" max="5"/>
  </cols>
  <sheetData>
    <row r="1" ht="17.45" customHeight="1" s="22">
      <c r="A1" s="1" t="inlineStr">
        <is>
          <t>Bài 4 · Chọn cách chấm và ra kết luận (10 phút) · sau Phần 04–05 · trang 37–50</t>
        </is>
      </c>
    </row>
    <row r="2" ht="18" customHeight="1" s="22">
      <c r="A2" s="24" t="inlineStr">
        <is>
          <t>Làm cá nhân, không tính điểm. Điền ô vàng ở cột C; cột D tự báo kết quả.</t>
        </is>
      </c>
    </row>
    <row r="4" ht="33" customHeight="1" s="22">
      <c r="A4" s="21" t="inlineStr">
        <is>
          <t>Ba câu hỏi trước khi viết bài đánh giá (trang 39). Chọn bộ chấm theo căn cứ kiểm chứng (trang 40–41). Đọc mã kiểm tra nhãn (trang 44). Kết luận "có răng" (trang 50).</t>
        </is>
      </c>
    </row>
    <row r="5" ht="33" customHeight="1" s="22">
      <c r="A5" s="21" t="inlineStr">
        <is>
          <t>Mã kiểm tra nhãn của Mộc: VALID = {"Đổi hàng", "Trả hàng", "Tra cứu đơn", "Cần làm rõ"}; đếm số nhãn hợp lệ xuất hiện trong đầu ra (so khớp đúng từng chữ). Đúng 1 → Đạt; 0 → Không đạt; từ 2 trở lên → Không đạt.</t>
        </is>
      </c>
    </row>
    <row r="6" ht="33" customHeight="1" s="22">
      <c r="A6" s="21" t="inlineStr">
        <is>
          <t>Bảng cho câu 4.14–4.15: bộ đề 50 tin, mọi ngưỡng chốt trước khi chạy. Quy tắc phát hành (trang 50): mọi tiêu chí đạt ngưỡng và không tiêu chí nào tụt quá 2 điểm so với bản cũ.</t>
        </is>
      </c>
    </row>
    <row r="8" ht="31.5" customHeight="1" s="22">
      <c r="A8" s="29" t="inlineStr">
        <is>
          <t>Tiêu chí</t>
        </is>
      </c>
      <c r="B8" s="27" t="n"/>
      <c r="C8" s="29" t="inlineStr">
        <is>
          <t>Ngưỡng chốt trước</t>
        </is>
      </c>
      <c r="D8" s="29" t="inlineStr">
        <is>
          <t>v1.3</t>
        </is>
      </c>
      <c r="E8" s="29" t="inlineStr">
        <is>
          <t>v1.4</t>
        </is>
      </c>
    </row>
    <row r="9" ht="18" customHeight="1" s="22">
      <c r="A9" s="28" t="inlineStr">
        <is>
          <t>Nhãn ý định đúng</t>
        </is>
      </c>
      <c r="B9" s="27" t="n"/>
      <c r="C9" s="28" t="inlineStr">
        <is>
          <t>≥ 90%</t>
        </is>
      </c>
      <c r="D9" s="28" t="inlineStr">
        <is>
          <t>90%</t>
        </is>
      </c>
      <c r="E9" s="28" t="inlineStr">
        <is>
          <t>96%</t>
        </is>
      </c>
    </row>
    <row r="10" ht="18" customHeight="1" s="22">
      <c r="A10" s="28" t="inlineStr">
        <is>
          <t>Bịa mã đơn</t>
        </is>
      </c>
      <c r="B10" s="27" t="n"/>
      <c r="C10" s="28" t="inlineStr">
        <is>
          <t>0 tin</t>
        </is>
      </c>
      <c r="D10" s="28" t="inlineStr">
        <is>
          <t>0 tin</t>
        </is>
      </c>
      <c r="E10" s="28" t="inlineStr">
        <is>
          <t>0 tin</t>
        </is>
      </c>
    </row>
    <row r="11" ht="18" customHeight="1" s="22">
      <c r="A11" s="28" t="inlineStr">
        <is>
          <t>Thời gian phản hồi (trung vị)</t>
        </is>
      </c>
      <c r="B11" s="27" t="n"/>
      <c r="C11" s="28" t="inlineStr">
        <is>
          <t>&lt; 2 giây</t>
        </is>
      </c>
      <c r="D11" s="28" t="inlineStr">
        <is>
          <t>1,4 giây</t>
        </is>
      </c>
      <c r="E11" s="28" t="inlineStr">
        <is>
          <t>1,6 giây</t>
        </is>
      </c>
    </row>
    <row r="12" ht="18" customHeight="1" s="22">
      <c r="A12" s="28" t="inlineStr">
        <is>
          <t>Ghi nhận cảm xúc khách</t>
        </is>
      </c>
      <c r="B12" s="27" t="n"/>
      <c r="C12" s="28" t="inlineStr">
        <is>
          <t>không tụt quá 2 điểm</t>
        </is>
      </c>
      <c r="D12" s="28" t="inlineStr">
        <is>
          <t>84%</t>
        </is>
      </c>
      <c r="E12" s="28" t="inlineStr">
        <is>
          <t>76%</t>
        </is>
      </c>
    </row>
    <row r="14" ht="33" customHeight="1" s="22">
      <c r="A14" s="21" t="inlineStr">
        <is>
          <t>Câu 4.13: A. Kết luận trợ lý hỏng, quay về bản cũ.  ·  B. Kiểm tra lại chính bài đánh giá: mẫu so khớp, tên trường dữ liệu.  ·  C. Hạ ngưỡng để có kết quả.</t>
        </is>
      </c>
    </row>
    <row r="16" ht="18" customHeight="1" s="22">
      <c r="A16" s="29" t="inlineStr">
        <is>
          <t>Câu</t>
        </is>
      </c>
      <c r="B16" s="29" t="inlineStr">
        <is>
          <t>Đề</t>
        </is>
      </c>
      <c r="C16" s="29" t="inlineStr">
        <is>
          <t>Trả lời</t>
        </is>
      </c>
      <c r="D16" s="29" t="inlineStr">
        <is>
          <t>Kiểm tra</t>
        </is>
      </c>
      <c r="E16" s="29" t="inlineStr">
        <is>
          <t>Trang</t>
        </is>
      </c>
    </row>
    <row r="17" ht="48" customHeight="1" s="22">
      <c r="A17" s="26" t="inlineStr">
        <is>
          <t>4.1</t>
        </is>
      </c>
      <c r="B17" s="28" t="inlineStr">
        <is>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is>
      </c>
      <c r="C17" s="32" t="inlineStr">
        <is>
          <t>Thiếu đặc tả → sửa câu lệnh</t>
        </is>
      </c>
      <c r="D17" s="7">
        <f>IF(C17="","",IF(C17="Thiếu đặc tả → sửa câu lệnh","Đúng","Chưa đúng"))</f>
        <v/>
      </c>
      <c r="E17" s="28" t="inlineStr">
        <is>
          <t>39</t>
        </is>
      </c>
    </row>
    <row r="18" ht="48" customHeight="1" s="22">
      <c r="A18" s="26" t="inlineStr">
        <is>
          <t>4.2</t>
        </is>
      </c>
      <c r="B18" s="28" t="inlineStr">
        <is>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is>
      </c>
      <c r="C18" s="32" t="inlineStr">
        <is>
          <t>Thiếu năng lực hệ thống → sửa kỹ thuật</t>
        </is>
      </c>
      <c r="D18" s="7">
        <f>IF(C18="","",IF(C18="Thiếu năng lực hệ thống → sửa kỹ thuật","Đúng","Chưa đúng"))</f>
        <v/>
      </c>
      <c r="E18" s="28" t="inlineStr">
        <is>
          <t>39</t>
        </is>
      </c>
    </row>
    <row r="19" ht="63" customHeight="1" s="22">
      <c r="A19" s="26" t="inlineStr">
        <is>
          <t>4.3</t>
        </is>
      </c>
      <c r="B19" s="28" t="inlineStr">
        <is>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is>
      </c>
      <c r="C19" s="32" t="inlineStr">
        <is>
          <t>Lúc được lúc không → viết bài đánh giá tự động</t>
        </is>
      </c>
      <c r="D19" s="7">
        <f>IF(C19="","",IF(C19="Lúc được lúc không → viết bài đánh giá tự động","Đúng","Chưa đúng"))</f>
        <v/>
      </c>
      <c r="E19" s="28" t="inlineStr">
        <is>
          <t>39</t>
        </is>
      </c>
    </row>
    <row r="20" ht="33" customHeight="1" s="22">
      <c r="A20" s="26" t="inlineStr">
        <is>
          <t>4.4</t>
        </is>
      </c>
      <c r="B20" s="28" t="inlineStr">
        <is>
          <t>Tiêu chí: nhãn ý định là đúng 1 trong 4 nhãn cho phép. Bộ chấm?  (chọn: Mã lệnh / Giám khảo AI / Người quyết)</t>
        </is>
      </c>
      <c r="C20" s="32" t="inlineStr">
        <is>
          <t>Mã lệnh</t>
        </is>
      </c>
      <c r="D20" s="7">
        <f>IF(C20="","",IF(C20="Mã lệnh","Đúng","Chưa đúng"))</f>
        <v/>
      </c>
      <c r="E20" s="28" t="inlineStr">
        <is>
          <t>40</t>
        </is>
      </c>
    </row>
    <row r="21" ht="33" customHeight="1" s="22">
      <c r="A21" s="26" t="inlineStr">
        <is>
          <t>4.5</t>
        </is>
      </c>
      <c r="B21" s="28" t="inlineStr">
        <is>
          <t>Tiêu chí: mã đơn trong câu trả lời trùng mã khách đưa (không bịa mã). Bộ chấm?  (chọn: Mã lệnh / Giám khảo AI / Người quyết)</t>
        </is>
      </c>
      <c r="C21" s="32" t="inlineStr">
        <is>
          <t>Mã lệnh</t>
        </is>
      </c>
      <c r="D21" s="7">
        <f>IF(C21="","",IF(C21="Mã lệnh","Đúng","Chưa đúng"))</f>
        <v/>
      </c>
      <c r="E21" s="28" t="inlineStr">
        <is>
          <t>46</t>
        </is>
      </c>
    </row>
    <row r="22" ht="33" customHeight="1" s="22">
      <c r="A22" s="26" t="inlineStr">
        <is>
          <t>4.6</t>
        </is>
      </c>
      <c r="B22" s="28" t="inlineStr">
        <is>
          <t>Tiêu chí: có gọi tra_cuu_don trước khi xác nhận đổi trả. Bộ chấm?  (chọn: Mã lệnh / Giám khảo AI / Người quyết)</t>
        </is>
      </c>
      <c r="C22" s="32" t="inlineStr">
        <is>
          <t>Mã lệnh</t>
        </is>
      </c>
      <c r="D22" s="7">
        <f>IF(C22="","",IF(C22="Mã lệnh","Đúng","Chưa đúng"))</f>
        <v/>
      </c>
      <c r="E22" s="28" t="inlineStr">
        <is>
          <t>45</t>
        </is>
      </c>
    </row>
    <row r="23" ht="33" customHeight="1" s="22">
      <c r="A23" s="26" t="inlineStr">
        <is>
          <t>4.7</t>
        </is>
      </c>
      <c r="B23" s="28" t="inlineStr">
        <is>
          <t>Tiêu chí: thời gian phản hồi dưới 2 giây. Bộ chấm?  (chọn: Mã lệnh / Giám khảo AI / Người quyết)</t>
        </is>
      </c>
      <c r="C23" s="32" t="inlineStr">
        <is>
          <t>Mã lệnh</t>
        </is>
      </c>
      <c r="D23" s="7">
        <f>IF(C23="","",IF(C23="Mã lệnh","Đúng","Chưa đúng"))</f>
        <v/>
      </c>
      <c r="E23" s="28" t="inlineStr">
        <is>
          <t>45</t>
        </is>
      </c>
    </row>
    <row r="24" ht="33" customHeight="1" s="22">
      <c r="A24" s="26" t="inlineStr">
        <is>
          <t>4.8</t>
        </is>
      </c>
      <c r="B24" s="28" t="inlineStr">
        <is>
          <t>Tiêu chí: ghi nhận cảm xúc của khách trước khi xử lý. Bộ chấm?  (chọn: Mã lệnh / Giám khảo AI / Người quyết)</t>
        </is>
      </c>
      <c r="C24" s="32" t="inlineStr">
        <is>
          <t>Giám khảo AI</t>
        </is>
      </c>
      <c r="D24" s="7">
        <f>IF(C24="","",IF(C24="Giám khảo AI","Đúng","Chưa đúng"))</f>
        <v/>
      </c>
      <c r="E24" s="28" t="inlineStr">
        <is>
          <t>40</t>
        </is>
      </c>
    </row>
    <row r="25" ht="33" customHeight="1" s="22">
      <c r="A25" s="26" t="inlineStr">
        <is>
          <t>4.9</t>
        </is>
      </c>
      <c r="B25" s="28" t="inlineStr">
        <is>
          <t>Tiêu chí: đề xuất mức đền bù cho hàng lỗi có hợp lý với từng khách không. Bộ chấm?  (chọn: Mã lệnh / Giám khảo AI / Người quyết)</t>
        </is>
      </c>
      <c r="C25" s="32" t="inlineStr">
        <is>
          <t>Người quyết</t>
        </is>
      </c>
      <c r="D25" s="7">
        <f>IF(C25="","",IF(C25="Người quyết","Đúng","Chưa đúng"))</f>
        <v/>
      </c>
      <c r="E25" s="28" t="inlineStr">
        <is>
          <t>41</t>
        </is>
      </c>
    </row>
    <row r="26" ht="33" customHeight="1" s="22">
      <c r="A26" s="26" t="inlineStr">
        <is>
          <t>4.10</t>
        </is>
      </c>
      <c r="B26" s="28" t="inlineStr">
        <is>
          <t>Đầu ra: "Ý định: Đổi hàng". Mã kiểm tra trả về?  (chọn: Đạt · đúng 1 nhãn / Không đạt · không có nhãn hợp lệ / Không đạt · nhiều hơn 1 nhãn)</t>
        </is>
      </c>
      <c r="C26" s="32" t="inlineStr">
        <is>
          <t>Đạt · đúng 1 nhãn</t>
        </is>
      </c>
      <c r="D26" s="7">
        <f>IF(C26="","",IF(C26="Đạt · đúng 1 nhãn","Đúng","Chưa đúng"))</f>
        <v/>
      </c>
      <c r="E26" s="28" t="inlineStr">
        <is>
          <t>44</t>
        </is>
      </c>
    </row>
    <row r="27" ht="33" customHeight="1" s="22">
      <c r="A27" s="26" t="inlineStr">
        <is>
          <t>4.11</t>
        </is>
      </c>
      <c r="B27" s="28" t="inlineStr">
        <is>
          <t>Đầu ra: "Ý định: đổi size". Mã kiểm tra trả về?  (chọn: Đạt · đúng 1 nhãn / Không đạt · không có nhãn hợp lệ / Không đạt · nhiều hơn 1 nhãn)</t>
        </is>
      </c>
      <c r="C27" s="32" t="inlineStr">
        <is>
          <t>Không đạt · không có nhãn hợp lệ</t>
        </is>
      </c>
      <c r="D27" s="7">
        <f>IF(C27="","",IF(C27="Không đạt · không có nhãn hợp lệ","Đúng","Chưa đúng"))</f>
        <v/>
      </c>
      <c r="E27" s="28" t="inlineStr">
        <is>
          <t>44</t>
        </is>
      </c>
    </row>
    <row r="28" ht="33" customHeight="1" s="22">
      <c r="A28" s="26" t="inlineStr">
        <is>
          <t>4.12</t>
        </is>
      </c>
      <c r="B28" s="28" t="inlineStr">
        <is>
          <t>Đầu ra: "Ý định: Đổi hàng; Trả hàng". Mã kiểm tra trả về?  (chọn: Đạt · đúng 1 nhãn / Không đạt · không có nhãn hợp lệ / Không đạt · nhiều hơn 1 nhãn)</t>
        </is>
      </c>
      <c r="C28" s="32" t="inlineStr">
        <is>
          <t>Không đạt · nhiều hơn 1 nhãn</t>
        </is>
      </c>
      <c r="D28" s="7">
        <f>IF(C28="","",IF(C28="Không đạt · nhiều hơn 1 nhãn","Đúng","Chưa đúng"))</f>
        <v/>
      </c>
      <c r="E28" s="28" t="inlineStr">
        <is>
          <t>44</t>
        </is>
      </c>
    </row>
    <row r="29" ht="33" customHeight="1" s="22">
      <c r="A29" s="26" t="inlineStr">
        <is>
          <t>4.13</t>
        </is>
      </c>
      <c r="B29" s="28" t="inlineStr">
        <is>
          <t>Một bài đánh giá mới chạy ra tỷ lệ đạt 0% trên cả 50 tin. Việc đầu tiên nên làm?</t>
        </is>
      </c>
      <c r="C29" s="32" t="inlineStr">
        <is>
          <t>B</t>
        </is>
      </c>
      <c r="D29" s="7">
        <f>IF(C29="","",IF(C29="B","Đúng","Chưa đúng"))</f>
        <v/>
      </c>
      <c r="E29" s="28" t="inlineStr">
        <is>
          <t>47</t>
        </is>
      </c>
    </row>
    <row r="30" ht="33" customHeight="1" s="22">
      <c r="A30" s="26" t="inlineStr">
        <is>
          <t>4.14</t>
        </is>
      </c>
      <c r="B30" s="28" t="inlineStr">
        <is>
          <t>Đọc bảng v1.3 / v1.4. Kết luận nào đúng?  (chọn: Phát hành / Lặp tiếp / Quay về bản cũ)</t>
        </is>
      </c>
      <c r="C30" s="32" t="inlineStr">
        <is>
          <t>Lặp tiếp</t>
        </is>
      </c>
      <c r="D30" s="7">
        <f>IF(C30="","",IF(C30="Lặp tiếp","Đúng","Chưa đúng"))</f>
        <v/>
      </c>
      <c r="E30" s="28" t="inlineStr">
        <is>
          <t>50</t>
        </is>
      </c>
    </row>
    <row r="31" ht="33" customHeight="1" s="22">
      <c r="A31" s="26" t="inlineStr">
        <is>
          <t>4.15</t>
        </is>
      </c>
      <c r="B31" s="28" t="inlineStr">
        <is>
          <t>Khi Lặp tiếp, đòn nào làm trước?  (chọn: Sửa câu lệnh / Đổi mô hình / Đổi kiến trúc)</t>
        </is>
      </c>
      <c r="C31" s="32" t="inlineStr">
        <is>
          <t>Sửa câu lệnh</t>
        </is>
      </c>
      <c r="D31" s="7">
        <f>IF(C31="","",IF(C31="Sửa câu lệnh","Đúng","Chưa đúng"))</f>
        <v/>
      </c>
      <c r="E31" s="28" t="inlineStr">
        <is>
          <t>50</t>
        </is>
      </c>
    </row>
    <row r="33" ht="18" customHeight="1" s="22">
      <c r="A33" s="26" t="inlineStr">
        <is>
          <t>Số câu đúng</t>
        </is>
      </c>
      <c r="B33" s="27" t="n"/>
      <c r="C33" s="10">
        <f>COUNTIF(D17:D31,"Đúng")</f>
        <v/>
      </c>
      <c r="D33" s="28" t="inlineStr">
        <is>
          <t>/ 15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11">
    <mergeCell ref="A4:E4"/>
    <mergeCell ref="A2:E2"/>
    <mergeCell ref="A33:B33"/>
    <mergeCell ref="A11:B11"/>
    <mergeCell ref="A10:B10"/>
    <mergeCell ref="A5:E5"/>
    <mergeCell ref="A14:E14"/>
    <mergeCell ref="A9:B9"/>
    <mergeCell ref="A6:E6"/>
    <mergeCell ref="A8:B8"/>
    <mergeCell ref="A12:B12"/>
  </mergeCells>
  <pageMargins left="0.75" right="0.75" top="1" bottom="1" header="0.511811023622047" footer="0.511811023622047"/>
  <pageSetup orientation="landscape" paperSize="9" fitToHeight="0" horizontalDpi="300" verticalDpi="300"/>
</worksheet>
</file>

<file path=xl/worksheets/sheet7.xml><?xml version="1.0" encoding="utf-8"?>
<worksheet xmlns="http://schemas.openxmlformats.org/spreadsheetml/2006/main">
  <sheetPr>
    <outlinePr summaryBelow="1" summaryRight="1"/>
    <pageSetUpPr fitToPage="1"/>
  </sheetPr>
  <dimension ref="A1:E44"/>
  <sheetViews>
    <sheetView zoomScaleNormal="100" workbookViewId="0">
      <selection activeCell="A1" sqref="A1"/>
    </sheetView>
  </sheetViews>
  <sheetFormatPr baseColWidth="8" defaultColWidth="8.7109375" defaultRowHeight="15"/>
  <cols>
    <col width="7" customWidth="1" style="22" min="1" max="1"/>
    <col width="70" customWidth="1" style="22" min="2" max="2"/>
    <col width="22" customWidth="1" style="22" min="3" max="3"/>
    <col width="14" customWidth="1" style="22" min="4" max="4"/>
    <col width="13" customWidth="1" style="22" min="5" max="5"/>
  </cols>
  <sheetData>
    <row r="1" ht="17.45" customHeight="1" s="22">
      <c r="A1" s="1" t="inlineStr">
        <is>
          <t>Bài 5 · Hiệu chỉnh giám khảo AI (10 phút) · sau Phần 06 · trang 51–59</t>
        </is>
      </c>
    </row>
    <row r="2" ht="18" customHeight="1" s="22">
      <c r="A2" s="24" t="inlineStr">
        <is>
          <t>Làm cá nhân, không tính điểm. Điền ô vàng ở cột C; cột D tự báo kết quả.</t>
        </is>
      </c>
    </row>
    <row r="4" ht="18" customHeight="1" s="22">
      <c r="A4" s="21" t="inlineStr">
        <is>
          <t>Tiêu chí: "Đạt = ghi nhận cảm xúc của khách TRƯỚC khi xử lý. Nhắc lại sự việc chưa phải là ghi nhận cảm xúc."</t>
        </is>
      </c>
    </row>
    <row r="5" ht="18" customHeight="1" s="22">
      <c r="A5" s="21" t="inlineStr">
        <is>
          <t>Chị Ngân (chuyên gia) và giám khảo AI cùng chấm 12 tin. Đ = Đạt, K = Không đạt. Ngưỡng đủ tin chốt trước: TPR và TNR đều từ 85% trở lên.</t>
        </is>
      </c>
    </row>
    <row r="6" ht="33" customHeight="1" s="22">
      <c r="A6" s="21" t="inlineStr">
        <is>
          <t>TPR = số tin cả hai cùng Đạt ÷ số tin chuyên gia chấm Đạt. TNR = số tin cả hai cùng Không đạt ÷ số tin chuyên gia chấm Không đạt (trang 53).</t>
        </is>
      </c>
    </row>
    <row r="8" ht="18" customHeight="1" s="22">
      <c r="A8" s="29" t="inlineStr">
        <is>
          <t>Tin</t>
        </is>
      </c>
      <c r="B8" s="29" t="inlineStr">
        <is>
          <t>Chuyên gia (chị Ngân)</t>
        </is>
      </c>
      <c r="C8" s="29" t="inlineStr">
        <is>
          <t>Giám khảo AI</t>
        </is>
      </c>
    </row>
    <row r="9" ht="18" customHeight="1" s="22">
      <c r="A9" s="28" t="inlineStr">
        <is>
          <t>1</t>
        </is>
      </c>
      <c r="B9" s="28" t="inlineStr">
        <is>
          <t>Đ</t>
        </is>
      </c>
      <c r="C9" s="28" t="inlineStr">
        <is>
          <t>Đ</t>
        </is>
      </c>
    </row>
    <row r="10" ht="18" customHeight="1" s="22">
      <c r="A10" s="28" t="inlineStr">
        <is>
          <t>2</t>
        </is>
      </c>
      <c r="B10" s="28" t="inlineStr">
        <is>
          <t>Đ</t>
        </is>
      </c>
      <c r="C10" s="28" t="inlineStr">
        <is>
          <t>Đ</t>
        </is>
      </c>
    </row>
    <row r="11" ht="18" customHeight="1" s="22">
      <c r="A11" s="28" t="inlineStr">
        <is>
          <t>3</t>
        </is>
      </c>
      <c r="B11" s="28" t="inlineStr">
        <is>
          <t>K</t>
        </is>
      </c>
      <c r="C11" s="28" t="inlineStr">
        <is>
          <t>Đ</t>
        </is>
      </c>
    </row>
    <row r="12" ht="18" customHeight="1" s="22">
      <c r="A12" s="28" t="inlineStr">
        <is>
          <t>4</t>
        </is>
      </c>
      <c r="B12" s="28" t="inlineStr">
        <is>
          <t>Đ</t>
        </is>
      </c>
      <c r="C12" s="28" t="inlineStr">
        <is>
          <t>Đ</t>
        </is>
      </c>
    </row>
    <row r="13" ht="18" customHeight="1" s="22">
      <c r="A13" s="28" t="inlineStr">
        <is>
          <t>5</t>
        </is>
      </c>
      <c r="B13" s="28" t="inlineStr">
        <is>
          <t>Đ</t>
        </is>
      </c>
      <c r="C13" s="28" t="inlineStr">
        <is>
          <t>K</t>
        </is>
      </c>
    </row>
    <row r="14" ht="18" customHeight="1" s="22">
      <c r="A14" s="28" t="inlineStr">
        <is>
          <t>6</t>
        </is>
      </c>
      <c r="B14" s="28" t="inlineStr">
        <is>
          <t>K</t>
        </is>
      </c>
      <c r="C14" s="28" t="inlineStr">
        <is>
          <t>K</t>
        </is>
      </c>
    </row>
    <row r="15" ht="18" customHeight="1" s="22">
      <c r="A15" s="28" t="inlineStr">
        <is>
          <t>7</t>
        </is>
      </c>
      <c r="B15" s="28" t="inlineStr">
        <is>
          <t>Đ</t>
        </is>
      </c>
      <c r="C15" s="28" t="inlineStr">
        <is>
          <t>Đ</t>
        </is>
      </c>
    </row>
    <row r="16" ht="18" customHeight="1" s="22">
      <c r="A16" s="28" t="inlineStr">
        <is>
          <t>8</t>
        </is>
      </c>
      <c r="B16" s="28" t="inlineStr">
        <is>
          <t>K</t>
        </is>
      </c>
      <c r="C16" s="28" t="inlineStr">
        <is>
          <t>Đ</t>
        </is>
      </c>
    </row>
    <row r="17" ht="18" customHeight="1" s="22">
      <c r="A17" s="28" t="inlineStr">
        <is>
          <t>9</t>
        </is>
      </c>
      <c r="B17" s="28" t="inlineStr">
        <is>
          <t>Đ</t>
        </is>
      </c>
      <c r="C17" s="28" t="inlineStr">
        <is>
          <t>Đ</t>
        </is>
      </c>
    </row>
    <row r="18" ht="18" customHeight="1" s="22">
      <c r="A18" s="28" t="inlineStr">
        <is>
          <t>10</t>
        </is>
      </c>
      <c r="B18" s="28" t="inlineStr">
        <is>
          <t>K</t>
        </is>
      </c>
      <c r="C18" s="28" t="inlineStr">
        <is>
          <t>K</t>
        </is>
      </c>
    </row>
    <row r="19" ht="18" customHeight="1" s="22">
      <c r="A19" s="28" t="inlineStr">
        <is>
          <t>11</t>
        </is>
      </c>
      <c r="B19" s="28" t="inlineStr">
        <is>
          <t>Đ</t>
        </is>
      </c>
      <c r="C19" s="28" t="inlineStr">
        <is>
          <t>Đ</t>
        </is>
      </c>
    </row>
    <row r="20" ht="18" customHeight="1" s="22">
      <c r="A20" s="28" t="inlineStr">
        <is>
          <t>12</t>
        </is>
      </c>
      <c r="B20" s="28" t="inlineStr">
        <is>
          <t>Đ</t>
        </is>
      </c>
      <c r="C20" s="28" t="inlineStr">
        <is>
          <t>Đ</t>
        </is>
      </c>
    </row>
    <row r="22" ht="33" customHeight="1" s="22">
      <c r="A22" s="21" t="inlineStr">
        <is>
          <t>Câu 5.10: A. Đạt ngưỡng, đưa giám khảo vào dùng.  ·  B. Chưa đạt vì TNR thấp: siết định nghĩa Không đạt, thêm 3–4 ví dụ trượt sát ranh, chấm lại.  ·  C. Chưa đạt vì TPR thấp: thêm ví dụ Đạt sát ranh.</t>
        </is>
      </c>
    </row>
    <row r="24" ht="18" customHeight="1" s="22">
      <c r="A24" s="29" t="inlineStr">
        <is>
          <t>Câu</t>
        </is>
      </c>
      <c r="B24" s="29" t="inlineStr">
        <is>
          <t>Đề</t>
        </is>
      </c>
      <c r="C24" s="29" t="inlineStr">
        <is>
          <t>Trả lời</t>
        </is>
      </c>
      <c r="D24" s="29" t="inlineStr">
        <is>
          <t>Kiểm tra</t>
        </is>
      </c>
      <c r="E24" s="29" t="inlineStr">
        <is>
          <t>Trang</t>
        </is>
      </c>
    </row>
    <row r="25" ht="18" customHeight="1" s="22">
      <c r="A25" s="26" t="inlineStr">
        <is>
          <t>5.1</t>
        </is>
      </c>
      <c r="B25" s="28" t="inlineStr">
        <is>
          <t>Chuyên gia chấm Đạt bao nhiêu tin?</t>
        </is>
      </c>
      <c r="C25" s="6" t="n">
        <v>8</v>
      </c>
      <c r="D25" s="7">
        <f>IF(C25="","",IF(ISNUMBER(C25),IF(ABS(C25-8)&lt;=0.01,"Đúng","Chưa đúng"),"Gõ một số"))</f>
        <v/>
      </c>
      <c r="E25" s="28" t="inlineStr">
        <is>
          <t>53</t>
        </is>
      </c>
    </row>
    <row r="26" ht="18" customHeight="1" s="22">
      <c r="A26" s="26" t="inlineStr">
        <is>
          <t>5.2</t>
        </is>
      </c>
      <c r="B26" s="28" t="inlineStr">
        <is>
          <t>Giám khảo chấm Đạt bao nhiêu tin?</t>
        </is>
      </c>
      <c r="C26" s="6" t="n">
        <v>9</v>
      </c>
      <c r="D26" s="7">
        <f>IF(C26="","",IF(ISNUMBER(C26),IF(ABS(C26-9)&lt;=0.01,"Đúng","Chưa đúng"),"Gõ một số"))</f>
        <v/>
      </c>
      <c r="E26" s="28" t="inlineStr">
        <is>
          <t>53</t>
        </is>
      </c>
    </row>
    <row r="27" ht="18" customHeight="1" s="22">
      <c r="A27" s="26" t="inlineStr">
        <is>
          <t>5.3</t>
        </is>
      </c>
      <c r="B27" s="28" t="inlineStr">
        <is>
          <t>Số tin hai bên khớp nhau?</t>
        </is>
      </c>
      <c r="C27" s="6" t="n">
        <v>9</v>
      </c>
      <c r="D27" s="7">
        <f>IF(C27="","",IF(ISNUMBER(C27),IF(ABS(C27-9)&lt;=0.01,"Đúng","Chưa đúng"),"Gõ một số"))</f>
        <v/>
      </c>
      <c r="E27" s="28" t="inlineStr">
        <is>
          <t>53</t>
        </is>
      </c>
    </row>
    <row r="28" ht="18" customHeight="1" s="22">
      <c r="A28" s="26" t="inlineStr">
        <is>
          <t>5.4</t>
        </is>
      </c>
      <c r="B28" s="28" t="inlineStr">
        <is>
          <t>Ô "cả hai Đạt" (nhận đúng ca đạt) có bao nhiêu tin?</t>
        </is>
      </c>
      <c r="C28" s="6" t="n">
        <v>7</v>
      </c>
      <c r="D28" s="7">
        <f>IF(C28="","",IF(ISNUMBER(C28),IF(ABS(C28-7)&lt;=0.01,"Đúng","Chưa đúng"),"Gõ một số"))</f>
        <v/>
      </c>
      <c r="E28" s="28" t="inlineStr">
        <is>
          <t>53</t>
        </is>
      </c>
    </row>
    <row r="29" ht="18" customHeight="1" s="22">
      <c r="A29" s="26" t="inlineStr">
        <is>
          <t>5.5</t>
        </is>
      </c>
      <c r="B29" s="28" t="inlineStr">
        <is>
          <t>Ô "giám khảo Đạt, chuyên gia Không đạt" (cho qua lỗi) có bao nhiêu tin?</t>
        </is>
      </c>
      <c r="C29" s="6" t="n">
        <v>2</v>
      </c>
      <c r="D29" s="7">
        <f>IF(C29="","",IF(ISNUMBER(C29),IF(ABS(C29-2)&lt;=0.01,"Đúng","Chưa đúng"),"Gõ một số"))</f>
        <v/>
      </c>
      <c r="E29" s="28" t="inlineStr">
        <is>
          <t>53</t>
        </is>
      </c>
    </row>
    <row r="30" ht="18" customHeight="1" s="22">
      <c r="A30" s="26" t="inlineStr">
        <is>
          <t>5.6</t>
        </is>
      </c>
      <c r="B30" s="28" t="inlineStr">
        <is>
          <t>Ô "giám khảo Không đạt, chuyên gia Đạt" (chặn nhầm) có bao nhiêu tin?</t>
        </is>
      </c>
      <c r="C30" s="6" t="n">
        <v>1</v>
      </c>
      <c r="D30" s="7">
        <f>IF(C30="","",IF(ISNUMBER(C30),IF(ABS(C30-1)&lt;=0.01,"Đúng","Chưa đúng"),"Gõ một số"))</f>
        <v/>
      </c>
      <c r="E30" s="28" t="inlineStr">
        <is>
          <t>53</t>
        </is>
      </c>
    </row>
    <row r="31" ht="18" customHeight="1" s="22">
      <c r="A31" s="26" t="inlineStr">
        <is>
          <t>5.7</t>
        </is>
      </c>
      <c r="B31" s="28" t="inlineStr">
        <is>
          <t>Ô "cả hai Không đạt" (bắt đúng ca trượt) có bao nhiêu tin?</t>
        </is>
      </c>
      <c r="C31" s="6" t="n">
        <v>2</v>
      </c>
      <c r="D31" s="7">
        <f>IF(C31="","",IF(ISNUMBER(C31),IF(ABS(C31-2)&lt;=0.01,"Đúng","Chưa đúng"),"Gõ một số"))</f>
        <v/>
      </c>
      <c r="E31" s="28" t="inlineStr">
        <is>
          <t>53</t>
        </is>
      </c>
    </row>
    <row r="32" ht="18" customHeight="1" s="22">
      <c r="A32" s="26" t="inlineStr">
        <is>
          <t>5.8</t>
        </is>
      </c>
      <c r="B32" s="28" t="inlineStr">
        <is>
          <t>TPR là bao nhiêu? (gõ kèm %, 1 chữ số thập phân)</t>
        </is>
      </c>
      <c r="C32" s="11" t="n">
        <v>0.875</v>
      </c>
      <c r="D32" s="7">
        <f>IF(C32="","",IF(ISNUMBER(C32),IF(OR(ABS(C32-0.875)&lt;=0.006,ABS(C32-87.5)&lt;=0.6),"Đúng","Chưa đúng"),"Gõ một số"))</f>
        <v/>
      </c>
      <c r="E32" s="28" t="inlineStr">
        <is>
          <t>53</t>
        </is>
      </c>
    </row>
    <row r="33" ht="18" customHeight="1" s="22">
      <c r="A33" s="26" t="inlineStr">
        <is>
          <t>5.9</t>
        </is>
      </c>
      <c r="B33" s="28" t="inlineStr">
        <is>
          <t>TNR là bao nhiêu? (gõ kèm %)</t>
        </is>
      </c>
      <c r="C33" s="8" t="n">
        <v>0.5</v>
      </c>
      <c r="D33" s="7">
        <f>IF(C33="","",IF(ISNUMBER(C33),IF(OR(ABS(C33-0.5)&lt;=0.006,ABS(C33-50)&lt;=0.6),"Đúng","Chưa đúng"),"Gõ một số"))</f>
        <v/>
      </c>
      <c r="E33" s="28" t="inlineStr">
        <is>
          <t>53</t>
        </is>
      </c>
    </row>
    <row r="34" ht="18" customHeight="1" s="22">
      <c r="A34" s="26" t="inlineStr">
        <is>
          <t>5.10</t>
        </is>
      </c>
      <c r="B34" s="28" t="inlineStr">
        <is>
          <t>Với ngưỡng 85%, kết luận nào đúng?</t>
        </is>
      </c>
      <c r="C34" s="32" t="inlineStr">
        <is>
          <t>B</t>
        </is>
      </c>
      <c r="D34" s="7">
        <f>IF(C34="","",IF(C34="B","Đúng","Chưa đúng"))</f>
        <v/>
      </c>
      <c r="E34" s="28" t="inlineStr">
        <is>
          <t>56</t>
        </is>
      </c>
    </row>
    <row r="35" ht="18" customHeight="1" s="22">
      <c r="A35" s="26" t="inlineStr">
        <is>
          <t>5.11</t>
        </is>
      </c>
      <c r="B35" s="28" t="inlineStr">
        <is>
          <t>Ô nào nguy hiểm nhất?  (chọn: Cho qua lỗi / Chặn nhầm)</t>
        </is>
      </c>
      <c r="C35" s="32" t="inlineStr">
        <is>
          <t>Cho qua lỗi</t>
        </is>
      </c>
      <c r="D35" s="7">
        <f>IF(C35="","",IF(C35="Cho qua lỗi","Đúng","Chưa đúng"))</f>
        <v/>
      </c>
      <c r="E35" s="28" t="inlineStr">
        <is>
          <t>53</t>
        </is>
      </c>
    </row>
    <row r="36" ht="63" customHeight="1" s="22">
      <c r="A36" s="26" t="inlineStr">
        <is>
          <t>5.12</t>
        </is>
      </c>
      <c r="B36" s="28" t="inlineStr">
        <is>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is>
      </c>
      <c r="C36" s="12" t="n">
        <v>0.4</v>
      </c>
      <c r="D36" s="7">
        <f>IF(C36="","",IF(ISNUMBER(C36),IF(ABS(C36-0.4)&lt;=0.006,"Đúng","Chưa đúng"),"Gõ một số"))</f>
        <v/>
      </c>
      <c r="E36" s="28" t="inlineStr">
        <is>
          <t>55</t>
        </is>
      </c>
    </row>
    <row r="37" ht="33" customHeight="1" s="22">
      <c r="A37" s="26" t="inlineStr">
        <is>
          <t>5.13</t>
        </is>
      </c>
      <c r="B37" s="28" t="inlineStr">
        <is>
          <t>Sau 3 vòng: tập hiệu chỉnh TPR 90%, TNR 89%; tập kiểm tra giữ riêng TPR 88%, TNR 85%. Chênh lớn nhất giữa hai tập là bao nhiêu điểm?</t>
        </is>
      </c>
      <c r="C37" s="6" t="n">
        <v>4</v>
      </c>
      <c r="D37" s="7">
        <f>IF(C37="","",IF(ISNUMBER(C37),IF(ABS(C37-4)&lt;=0.01,"Đúng","Chưa đúng"),"Gõ một số"))</f>
        <v/>
      </c>
      <c r="E37" s="28" t="inlineStr">
        <is>
          <t>56</t>
        </is>
      </c>
    </row>
    <row r="38" ht="33" customHeight="1" s="22">
      <c r="A38" s="26" t="inlineStr">
        <is>
          <t>5.14</t>
        </is>
      </c>
      <c r="B38" s="28" t="inlineStr">
        <is>
          <t>Với kết quả câu 5.13, giám khảo đã hiệu chỉnh xong (chênh ≤ 5 điểm, cả hai ≥ 85%) chưa?  (chọn: Có / Không)</t>
        </is>
      </c>
      <c r="C38" s="32" t="inlineStr">
        <is>
          <t>Có</t>
        </is>
      </c>
      <c r="D38" s="7">
        <f>IF(C38="","",IF(C38="Có","Đúng","Chưa đúng"))</f>
        <v/>
      </c>
      <c r="E38" s="28" t="inlineStr">
        <is>
          <t>56</t>
        </is>
      </c>
    </row>
    <row r="39" ht="33" customHeight="1" s="22">
      <c r="A39" s="26" t="inlineStr">
        <is>
          <t>5.15</t>
        </is>
      </c>
      <c r="B39" s="28" t="inlineStr">
        <is>
          <t>"Giám khảo cùng họ mô hình với trợ lý sẽ chấm công bằng hơn vì hiểu cách nó trả lời."  (chọn: Đúng / Sai)</t>
        </is>
      </c>
      <c r="C39" s="32" t="inlineStr">
        <is>
          <t>Sai</t>
        </is>
      </c>
      <c r="D39" s="7">
        <f>IF(C39="","",IF(C39="Sai","Đúng","Chưa đúng"))</f>
        <v/>
      </c>
      <c r="E39" s="28" t="inlineStr">
        <is>
          <t>55</t>
        </is>
      </c>
    </row>
    <row r="40" ht="18" customHeight="1" s="22">
      <c r="A40" s="26" t="inlineStr">
        <is>
          <t>5.16</t>
        </is>
      </c>
      <c r="B40" s="28" t="inlineStr">
        <is>
          <t>"Cho giám khảo chấm thang 1–10 để kết quả chi tiết hơn."  (chọn: Đúng / Sai)</t>
        </is>
      </c>
      <c r="C40" s="32" t="inlineStr">
        <is>
          <t>Sai</t>
        </is>
      </c>
      <c r="D40" s="7">
        <f>IF(C40="","",IF(C40="Sai","Đúng","Chưa đúng"))</f>
        <v/>
      </c>
      <c r="E40" s="28" t="inlineStr">
        <is>
          <t>52</t>
        </is>
      </c>
    </row>
    <row r="41" ht="18" customHeight="1" s="22">
      <c r="A41" s="26" t="inlineStr">
        <is>
          <t>5.17</t>
        </is>
      </c>
      <c r="B41" s="28" t="inlineStr">
        <is>
          <t>"Dùng 3 giám khảo thì lấy kết luận theo đa số phiếu."  (chọn: Đúng / Sai)</t>
        </is>
      </c>
      <c r="C41" s="32" t="inlineStr">
        <is>
          <t>Sai</t>
        </is>
      </c>
      <c r="D41" s="7">
        <f>IF(C41="","",IF(C41="Sai","Đúng","Chưa đúng"))</f>
        <v/>
      </c>
      <c r="E41" s="28" t="inlineStr">
        <is>
          <t>55</t>
        </is>
      </c>
    </row>
    <row r="42" ht="33" customHeight="1" s="22">
      <c r="A42" s="26" t="inlineStr">
        <is>
          <t>5.18</t>
        </is>
      </c>
      <c r="B42" s="28" t="inlineStr">
        <is>
          <t>"Khi chính các chuyên gia chấm lệch nhau nhiều, phải sửa tiêu chí trước khi nghĩ đến tự động hóa."  (chọn: Đúng / Sai)</t>
        </is>
      </c>
      <c r="C42" s="32" t="inlineStr">
        <is>
          <t>Đúng</t>
        </is>
      </c>
      <c r="D42" s="7">
        <f>IF(C42="","",IF(C42="Đúng","Đúng","Chưa đúng"))</f>
        <v/>
      </c>
      <c r="E42" s="28" t="inlineStr">
        <is>
          <t>58</t>
        </is>
      </c>
    </row>
    <row r="44" ht="18" customHeight="1" s="22">
      <c r="A44" s="26" t="inlineStr">
        <is>
          <t>Số câu đúng</t>
        </is>
      </c>
      <c r="B44" s="27" t="n"/>
      <c r="C44" s="10">
        <f>COUNTIF(D25:D42,"Đúng")</f>
        <v/>
      </c>
      <c r="D44" s="28" t="inlineStr">
        <is>
          <t>/ 18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6">
    <mergeCell ref="A4:E4"/>
    <mergeCell ref="A2:E2"/>
    <mergeCell ref="A5:E5"/>
    <mergeCell ref="A44:B44"/>
    <mergeCell ref="A6:E6"/>
    <mergeCell ref="A22:E22"/>
  </mergeCells>
  <pageMargins left="0.75" right="0.75" top="1" bottom="1" header="0.511811023622047" footer="0.511811023622047"/>
  <pageSetup orientation="landscape" paperSize="9" fitToHeight="0" horizontalDpi="300" verticalDpi="300"/>
</worksheet>
</file>

<file path=xl/worksheets/sheet8.xml><?xml version="1.0" encoding="utf-8"?>
<worksheet xmlns="http://schemas.openxmlformats.org/spreadsheetml/2006/main">
  <sheetPr>
    <outlinePr summaryBelow="1" summaryRight="1"/>
    <pageSetUpPr fitToPage="1"/>
  </sheetPr>
  <dimension ref="A1:G112"/>
  <sheetViews>
    <sheetView zoomScaleNormal="100" workbookViewId="0">
      <selection activeCell="A1" sqref="A1"/>
    </sheetView>
  </sheetViews>
  <sheetFormatPr baseColWidth="8" defaultColWidth="8.7109375" defaultRowHeight="15"/>
  <cols>
    <col width="7" customWidth="1" style="22" min="1" max="1"/>
    <col width="34" customWidth="1" style="22" min="2" max="2"/>
    <col width="40" customWidth="1" style="22" min="3" max="3"/>
    <col width="34" customWidth="1" style="22" min="4" max="4"/>
    <col width="22" customWidth="1" style="22" min="5" max="5"/>
    <col width="16" customWidth="1" style="22" min="6" max="7"/>
  </cols>
  <sheetData>
    <row r="1" ht="17.45" customHeight="1" s="22">
      <c r="A1" s="1" t="inlineStr">
        <is>
          <t>Xưởng · Bộ đánh giá cho trợ lý đổi trả Mộc (50 phút, làm theo nhóm, có chấm điểm)</t>
        </is>
      </c>
    </row>
    <row r="2" ht="33" customHeight="1" s="22">
      <c r="A2" s="24" t="inlineStr">
        <is>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is>
      </c>
    </row>
    <row r="3" ht="18" customHeight="1" s="22">
      <c r="A3" s="26" t="inlineStr">
        <is>
          <t>Tên nhóm và thành viên:</t>
        </is>
      </c>
      <c r="B3" s="27" t="n"/>
      <c r="C3" s="32" t="inlineStr">
        <is>
          <t>Nhóm DATA17 - Customer 360 &amp; Entity Resolution Ngân Hàng</t>
        </is>
      </c>
      <c r="D3" s="34" t="n"/>
      <c r="E3" s="34" t="n"/>
      <c r="F3" s="34" t="n"/>
      <c r="G3" s="33" t="n"/>
    </row>
    <row r="5" ht="18" customHeight="1" s="22">
      <c r="A5" s="31" t="inlineStr">
        <is>
          <t>X1 · Đơn vị công việc AI (4 phút · 1 điểm)</t>
        </is>
      </c>
    </row>
    <row r="6" ht="18" customHeight="1" s="22">
      <c r="A6" s="21" t="inlineStr">
        <is>
          <t>Viết 1 câu: Đọc [đầu vào] → [đầu ra kiểm được], [ràng buộc]. Khác với câu 1.8 của Bài 1: chọn việc SOẠN CÂU TRẢ LỜI đổi trả, không phải việc gắn nhãn.</t>
        </is>
      </c>
    </row>
    <row r="7" ht="61.5" customHeight="1" s="22">
      <c r="A7" s="26" t="inlineStr">
        <is>
          <t>Câu của nhóm</t>
        </is>
      </c>
      <c r="B7" s="27" t="n"/>
      <c r="C7" s="32" t="inlineStr">
        <is>
          <t>Đọc 1 cặp hồ sơ khách hàng phân tán từ Core Banking, Thẻ và App Mobile → thực hiện so khớp danh tính đa chiều và đối soát mạng lưới tài khoản để gán nhãn MERGE, SPLIT hoặc REVIEW; phản hồi dưới 0.5 giây/cặp; chuyển chuyên viên rủi ro khi phát hiện người cùng hộ khẩu hoặc thông tin mâu thuẫn.</t>
        </is>
      </c>
      <c r="D7" s="34" t="n"/>
      <c r="E7" s="34" t="n"/>
      <c r="F7" s="33" t="n"/>
      <c r="G7" s="7">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
      </c>
    </row>
    <row r="9" ht="18" customHeight="1" s="22">
      <c r="A9" s="31" t="inlineStr">
        <is>
          <t>X2 · Chiều và phễu (6 phút · 1 điểm)</t>
        </is>
      </c>
    </row>
    <row r="10" ht="18" customHeight="1" s="22">
      <c r="A10" s="21" t="inlineStr">
        <is>
          <t>Chọn 3 chiều qua phép thử (ghi rõ hành vi đúng đổi thế nào), số giá trị mỗi chiều, số tổ hợp phi lý loại đi, số tình huống chọn, số cách diễn đạt. File tự tính số đầu vào.</t>
        </is>
      </c>
    </row>
    <row r="11" ht="18" customHeight="1" s="22">
      <c r="A11" s="29" t="inlineStr">
        <is>
          <t>#</t>
        </is>
      </c>
      <c r="B11" s="29" t="inlineStr">
        <is>
          <t>Chiều</t>
        </is>
      </c>
      <c r="C11" s="29" t="inlineStr">
        <is>
          <t>Số giá trị</t>
        </is>
      </c>
      <c r="D11" s="29" t="inlineStr">
        <is>
          <t>Hành vi đúng đổi thế nào khi đổi giá trị (phép thử, trang 26)</t>
        </is>
      </c>
      <c r="E11" s="30" t="n"/>
      <c r="F11" s="30" t="n"/>
      <c r="G11" s="27" t="n"/>
    </row>
    <row r="12" ht="33.75" customHeight="1" s="22">
      <c r="A12" s="28" t="inlineStr">
        <is>
          <t>1</t>
        </is>
      </c>
      <c r="B12" s="32" t="inlineStr">
        <is>
          <t>Mức độ tin cậy của mã định danh pháp lý (CCCD/CMND)</t>
        </is>
      </c>
      <c r="C12" s="6" t="n">
        <v>4</v>
      </c>
      <c r="D12" s="32" t="inlineStr">
        <is>
          <t>Đổi giá trị giữa Trùng CCCD 12 số, CMND 9 số cũ, Hộ chiếu, Sai lệch định dạng → hành vi đổi từ tự động gộp bằng luật cứng sang so khớp xác suất mờ hoặc dừng lại chuyển người duyệt</t>
        </is>
      </c>
      <c r="E12" s="34" t="n"/>
      <c r="F12" s="34" t="n"/>
      <c r="G12" s="33" t="n"/>
    </row>
    <row r="13" ht="33.75" customHeight="1" s="22">
      <c r="A13" s="28" t="inlineStr">
        <is>
          <t>2</t>
        </is>
      </c>
      <c r="B13" s="32" t="inlineStr">
        <is>
          <t>Mức độ biến thiên của tên tiếng Việt và địa chỉ</t>
        </is>
      </c>
      <c r="C13" s="6" t="n">
        <v>3</v>
      </c>
      <c r="D13" s="32" t="inlineStr">
        <is>
          <t>Đổi giá trị giữa Viết tắt, Không dấu, Lỗi gõ Unikey → hành vi đổi từ so sánh chuỗi bằng sang tính khoảng cách Jaro-Winkler và truy vấn vector ngữ nghĩa địa chỉ</t>
        </is>
      </c>
      <c r="E13" s="34" t="n"/>
      <c r="F13" s="34" t="n"/>
      <c r="G13" s="33" t="n"/>
    </row>
    <row r="14" ht="33.75" customHeight="1" s="22">
      <c r="A14" s="28" t="inlineStr">
        <is>
          <t>3</t>
        </is>
      </c>
      <c r="B14" s="32" t="inlineStr">
        <is>
          <t>Mối quan hệ mạng lưới tài khoản và người cùng hộ khẩu</t>
        </is>
      </c>
      <c r="C14" s="6" t="n">
        <v>3</v>
      </c>
      <c r="D14" s="32" t="inlineStr">
        <is>
          <t>Đổi giá trị giữa Khách độc lập, Người thân cùng địa chỉ, Số điện thoại chi nhánh → hành vi đổi từ cho phép gộp sang gắn cờ cảnh báo người thân hoặc kích hoạt danh sách chặn</t>
        </is>
      </c>
      <c r="E14" s="34" t="n"/>
      <c r="F14" s="34" t="n"/>
      <c r="G14" s="33" t="n"/>
    </row>
    <row r="15" ht="18" customHeight="1" s="22">
      <c r="A15" s="26" t="inlineStr">
        <is>
          <t>Số tổ hợp (tự tính)</t>
        </is>
      </c>
      <c r="B15" s="27" t="n"/>
      <c r="C15" s="13">
        <f>IF(COUNT(C12:C14)&lt;3,"",PRODUCT(C12:C14))</f>
        <v/>
      </c>
    </row>
    <row r="16" ht="18" customHeight="1" s="22">
      <c r="A16" s="26" t="inlineStr">
        <is>
          <t>Số tổ hợp phi lý loại đi</t>
        </is>
      </c>
      <c r="B16" s="27" t="n"/>
      <c r="C16" s="6" t="n">
        <v>12</v>
      </c>
    </row>
    <row r="17" ht="18" customHeight="1" s="22">
      <c r="A17" s="26" t="inlineStr">
        <is>
          <t>Còn lại (tự tính)</t>
        </is>
      </c>
      <c r="B17" s="27" t="n"/>
      <c r="C17" s="13">
        <f>IF(OR(C15="",C16=""),"",C15-C16)</f>
        <v/>
      </c>
    </row>
    <row r="18" ht="18" customHeight="1" s="22">
      <c r="A18" s="26" t="inlineStr">
        <is>
          <t>Số tình huống chọn để thử</t>
        </is>
      </c>
      <c r="B18" s="27" t="n"/>
      <c r="C18" s="6" t="n">
        <v>15</v>
      </c>
      <c r="D18" s="7">
        <f>IF(OR(C18="",C17=""),"",IF(C18&gt;C17,"Chọn nhiều hơn số còn lại","Đạt"))</f>
        <v/>
      </c>
    </row>
    <row r="19" ht="18" customHeight="1" s="22">
      <c r="A19" s="26" t="inlineStr">
        <is>
          <t>Số cách diễn đạt mỗi tình huống</t>
        </is>
      </c>
      <c r="B19" s="27" t="n"/>
      <c r="C19" s="6" t="n">
        <v>3</v>
      </c>
    </row>
    <row r="20" ht="18" customHeight="1" s="22">
      <c r="A20" s="26" t="inlineStr">
        <is>
          <t>Số đầu vào của bộ đề (tự tính)</t>
        </is>
      </c>
      <c r="B20" s="27" t="n"/>
      <c r="C20" s="10">
        <f>IF(OR(C18="",C19=""),"",C18*C19)</f>
        <v/>
      </c>
      <c r="D20" s="7">
        <f>IF(C20="","",IF(AND(C20&gt;=40,C20&lt;=50),"Đạt","Nên trong khoảng 40–50 (trang 29)"))</f>
        <v/>
      </c>
    </row>
    <row r="22" ht="18" customHeight="1" s="22">
      <c r="A22" s="31" t="inlineStr">
        <is>
          <t>X3 · 8 tình huống (9 phút · 2 điểm)</t>
        </is>
      </c>
    </row>
    <row r="23" ht="18" customHeight="1" s="22">
      <c r="A23" s="21" t="inlineStr">
        <is>
          <t>8 tình huống cho trợ lý Mộc: tin nhắn của khách, hành vi đúng mong đợi (dẫn chính sách CS-1 đến CS-6), loại tình huống. Có đủ 3 loại; ít nhất 3 tình huống thử thách.</t>
        </is>
      </c>
    </row>
    <row r="24" ht="18" customHeight="1" s="22">
      <c r="A24" s="29" t="inlineStr">
        <is>
          <t>#</t>
        </is>
      </c>
      <c r="B24" s="29" t="inlineStr">
        <is>
          <t>Tin nhắn của khách</t>
        </is>
      </c>
      <c r="C24" s="29" t="inlineStr">
        <is>
          <t>Hành vi đúng mong đợi (dẫn CS-1 đến CS-6)</t>
        </is>
      </c>
      <c r="D24" s="27" t="n"/>
      <c r="E24" s="29" t="inlineStr">
        <is>
          <t>Loại tình huống</t>
        </is>
      </c>
    </row>
    <row r="25" ht="48" customHeight="1" s="22">
      <c r="A25" s="28" t="inlineStr">
        <is>
          <t>1</t>
        </is>
      </c>
      <c r="B25" s="32" t="inlineStr">
        <is>
          <t>Hồ sơ Core Banking có CCCD 001095001234 tên Nguyễn Văn A, hồ sơ App có CCCD 001095001234 tên Nguyen Van A cùng ngày sinh.</t>
        </is>
      </c>
      <c r="C25" s="32" t="inlineStr">
        <is>
          <t>Xác thực trùng CCCD 12 số và tên không dấu; gọi lệnh hop_nhat_ho_so(MERGE) tạo mã Customer 360 duy nhất với độ tin cậy 100%.</t>
        </is>
      </c>
      <c r="D25" s="33" t="n"/>
      <c r="E25" s="32" t="inlineStr">
        <is>
          <t>Đại diện</t>
        </is>
      </c>
    </row>
    <row r="26" ht="48" customHeight="1" s="22">
      <c r="A26" s="28" t="inlineStr">
        <is>
          <t>2</t>
        </is>
      </c>
      <c r="B26" s="32" t="inlineStr">
        <is>
          <t>Hồ sơ mở thẻ năm 2018 bằng CMND 9 số 012345678, hồ sơ mở tài khoản CASA năm 2024 bằng CCCD 12 số, cùng số điện thoại và địa chỉ nhà.</t>
        </is>
      </c>
      <c r="C26" s="32" t="inlineStr">
        <is>
          <t>Gọi lệnh tra_cuu_lich_su_dinh_danh; xác nhận quan hệ ánh xạ CMND cũ sang CCCD mới và thực hiện gộp hồ sơ MERGE.</t>
        </is>
      </c>
      <c r="D26" s="33" t="n"/>
      <c r="E26" s="32" t="inlineStr">
        <is>
          <t>Đại diện</t>
        </is>
      </c>
    </row>
    <row r="27" ht="48" customHeight="1" s="22">
      <c r="A27" s="28" t="inlineStr">
        <is>
          <t>3</t>
        </is>
      </c>
      <c r="B27" s="32" t="inlineStr">
        <is>
          <t>Hai hồ sơ cùng địa chỉ thường trú 15 Hàng Bông, cùng số điện thoại bàn, một người tên Trần Văn An, một người tên Trần Văn An Thái.</t>
        </is>
      </c>
      <c r="C27" s="32" t="inlineStr">
        <is>
          <t>Nhận diện quan hệ người thân trong cùng gia đình; gắn cờ cảnh báo và thực hiện lệnh tach_ho_so(SPLIT), tuyệt đối không gộp nhầm.</t>
        </is>
      </c>
      <c r="D27" s="33" t="n"/>
      <c r="E27" s="32" t="inlineStr">
        <is>
          <t>Thử thách</t>
        </is>
      </c>
    </row>
    <row r="28" ht="48" customHeight="1" s="22">
      <c r="A28" s="28" t="inlineStr">
        <is>
          <t>4</t>
        </is>
      </c>
      <c r="B28" s="32" t="inlineStr">
        <is>
          <t>Tên hồ sơ E-Banking bị lỗi gõ Unikey Nguyeexn Vawn A, số CCCD sai lệch 1 ký tự cuối so với hồ sơ gốc tại quầy giao dịch.</t>
        </is>
      </c>
      <c r="C28" s="32" t="inlineStr">
        <is>
          <t>Phát hiện điểm tương đồng nằm trong dải nghi ngờ 75%; gọi lệnh chuyen_chuyen_vien_duyet(REVIEW) kèm ảnh scan giấy tờ gốc.</t>
        </is>
      </c>
      <c r="D28" s="33" t="n"/>
      <c r="E28" s="32" t="inlineStr">
        <is>
          <t>Thử thách</t>
        </is>
      </c>
    </row>
    <row r="29" ht="48" customHeight="1" s="22">
      <c r="A29" s="28" t="inlineStr">
        <is>
          <t>5</t>
        </is>
      </c>
      <c r="B29" s="32" t="inlineStr">
        <is>
          <t>Hai hồ sơ của hai cá nhân khác nhau mở tài khoản tại chi nhánh Ba Đình nhưng cùng lưu số điện thoại bàn của chi nhánh ngân hàng.</t>
        </is>
      </c>
      <c r="C29" s="32" t="inlineStr">
        <is>
          <t>Nhận diện số điện thoại thuộc danh sách SĐT chi nhánh; bỏ qua trọng số SĐT và xét duyệt độc lập bằng CCCD, gán nhãn SPLIT.</t>
        </is>
      </c>
      <c r="D29" s="33" t="n"/>
      <c r="E29" s="32" t="inlineStr">
        <is>
          <t>Thử thách</t>
        </is>
      </c>
    </row>
    <row r="30" ht="48" customHeight="1" s="22">
      <c r="A30" s="28" t="inlineStr">
        <is>
          <t>6</t>
        </is>
      </c>
      <c r="B30" s="32" t="inlineStr">
        <is>
          <t>Khách hàng có dư nợ xấu nhóm 5 tại hệ thống cho vay cũ, đăng ký thẻ tín dụng mới trên App bằng số điện thoại mới và nơi ở mới.</t>
        </is>
      </c>
      <c r="C30" s="32" t="inlineStr">
        <is>
          <t>Truy vấn mạng lưới tài khoản qua CCCD cũ; nhận diện cảnh báo nợ xấu chéo kênh và phát tín hiệu cảnh báo rủi ro gian lận.</t>
        </is>
      </c>
      <c r="D30" s="33" t="n"/>
      <c r="E30" s="32" t="inlineStr">
        <is>
          <t>Thử thách</t>
        </is>
      </c>
    </row>
    <row r="31" ht="48" customHeight="1" s="22">
      <c r="A31" s="28" t="inlineStr">
        <is>
          <t>7</t>
        </is>
      </c>
      <c r="B31" s="32" t="inlineStr">
        <is>
          <t>Hai hồ sơ khác số CCCD nhưng trùng họ tên và ngày sinh do nhập liệu tại quầy, hệ thống phiên bản cũ từng tự động gộp nhầm.</t>
        </is>
      </c>
      <c r="C31" s="32" t="inlineStr">
        <is>
          <t>Kiểm tra luật cứng: khác CCCD hợp lệ thì cấm gộp tự động; gán nhãn SPLIT và lưu vết kiểm toán (chống lỗi hồi quy của bản cũ).</t>
        </is>
      </c>
      <c r="D31" s="33" t="n"/>
      <c r="E31" s="32" t="inlineStr">
        <is>
          <t>Hồi quy nghiêm trọng</t>
        </is>
      </c>
    </row>
    <row r="32" ht="48" customHeight="1" s="22">
      <c r="A32" s="28" t="inlineStr">
        <is>
          <t>8</t>
        </is>
      </c>
      <c r="B32" s="32" t="inlineStr">
        <is>
          <t>Hai hồ sơ hoàn toàn khác biệt về CCCD, họ tên, số điện thoại, tỉnh thành cư trú và lịch sử giao dịch.</t>
        </is>
      </c>
      <c r="C32" s="32" t="inlineStr">
        <is>
          <t>Phân loại không tương đồng ngay tại bước phân cụm thô (Blocking); thực hiện lệnh tach_ho_so(SPLIT) trong thời gian dưới 0.1 giây.</t>
        </is>
      </c>
      <c r="D32" s="33" t="n"/>
      <c r="E32" s="32" t="inlineStr">
        <is>
          <t>Đại diện</t>
        </is>
      </c>
    </row>
    <row r="33" ht="18" customHeight="1" s="22">
      <c r="B33" s="26" t="inlineStr">
        <is>
          <t>Số tình huống đại diện</t>
        </is>
      </c>
      <c r="C33" s="13">
        <f>COUNTIF(E25:E32,"Đại diện")</f>
        <v/>
      </c>
    </row>
    <row r="34" ht="18" customHeight="1" s="22">
      <c r="B34" s="26" t="inlineStr">
        <is>
          <t>Số tình huống thử thách</t>
        </is>
      </c>
      <c r="C34" s="13">
        <f>COUNTIF(E25:E32,"Thử thách")</f>
        <v/>
      </c>
    </row>
    <row r="35" ht="18" customHeight="1" s="22">
      <c r="B35" s="26" t="inlineStr">
        <is>
          <t>Số tình huống hồi quy nghiêm trọng</t>
        </is>
      </c>
      <c r="C35" s="13">
        <f>COUNTIF(E25:E32,"Hồi quy nghiêm trọng")</f>
        <v/>
      </c>
    </row>
    <row r="36" ht="18" customHeight="1" s="22">
      <c r="B36" s="26" t="inlineStr">
        <is>
          <t>Kiểm tra</t>
        </is>
      </c>
      <c r="C36" s="7">
        <f>IF(COUNTA(E25:E32)=0,"",IF(COUNTA(B25:B32)&lt;8,"Chưa đủ 8 tình huống",IF(COUNTIF(E25:E32,"Đại diện")*COUNTIF(E25:E32,"Thử thách")*COUNTIF(E25:E32,"Hồi quy nghiêm trọng")=0,"Thiếu một loại",IF(COUNTIF(E25:E32,"Thử thách")&lt;3,"Cần ít nhất 3 tình huống thử thách","Đạt"))))</f>
        <v/>
      </c>
    </row>
    <row r="38" ht="18" customHeight="1" s="22">
      <c r="A38" s="31" t="inlineStr">
        <is>
          <t>X4 · Đọc 3 vết thực thi mới (7 phút · 1,5 điểm)</t>
        </is>
      </c>
    </row>
    <row r="39" ht="18" customHeight="1" s="22">
      <c r="A39" s="21" t="inlineStr">
        <is>
          <t>Với W1, W2, W3: bước sai đầu tiên, mã lỗi gốc, nên sửa ở đâu.</t>
        </is>
      </c>
    </row>
    <row r="40" ht="18" customHeight="1" s="22">
      <c r="A40" s="29" t="inlineStr">
        <is>
          <t>Vết</t>
        </is>
      </c>
      <c r="B40" s="29" t="inlineStr">
        <is>
          <t>Bước · loại · nội dung</t>
        </is>
      </c>
      <c r="C40" s="30" t="n"/>
      <c r="D40" s="30" t="n"/>
      <c r="E40" s="30" t="n"/>
      <c r="F40" s="30" t="n"/>
      <c r="G40" s="27" t="n"/>
    </row>
    <row r="41" ht="18" customHeight="1" s="22">
      <c r="A41" s="26" t="inlineStr">
        <is>
          <t>W1</t>
        </is>
      </c>
      <c r="B41" s="28" t="inlineStr">
        <is>
          <t>1 · Khách: "Mình muốn đổi đơn MS-1120 sang màu đen."</t>
        </is>
      </c>
      <c r="C41" s="30" t="n"/>
      <c r="D41" s="30" t="n"/>
      <c r="E41" s="30" t="n"/>
      <c r="F41" s="30" t="n"/>
      <c r="G41" s="27" t="n"/>
    </row>
    <row r="42" ht="18" customHeight="1" s="22">
      <c r="A42" s="26" t="n"/>
      <c r="B42" s="28" t="inlineStr">
        <is>
          <t>2 · Phân loại ý định: Đổi hàng</t>
        </is>
      </c>
      <c r="C42" s="30" t="n"/>
      <c r="D42" s="30" t="n"/>
      <c r="E42" s="30" t="n"/>
      <c r="F42" s="30" t="n"/>
      <c r="G42" s="27" t="n"/>
    </row>
    <row r="43" ht="18" customHeight="1" s="22">
      <c r="A43" s="26" t="n"/>
      <c r="B43" s="28" t="inlineStr">
        <is>
          <t>3 · Công cụ: tao_yeu_cau_doi_tra(MS-1120, đổi màu) (không gọi tra_cuu_don trước)</t>
        </is>
      </c>
      <c r="C43" s="30" t="n"/>
      <c r="D43" s="30" t="n"/>
      <c r="E43" s="30" t="n"/>
      <c r="F43" s="30" t="n"/>
      <c r="G43" s="27" t="n"/>
    </row>
    <row r="44" ht="18" customHeight="1" s="22">
      <c r="A44" s="26" t="n"/>
      <c r="B44" s="28" t="inlineStr">
        <is>
          <t>4 · Trả lời: "Dạ shop đã tạo yêu cầu đổi sang màu đen cho bạn ạ."</t>
        </is>
      </c>
      <c r="C44" s="30" t="n"/>
      <c r="D44" s="30" t="n"/>
      <c r="E44" s="30" t="n"/>
      <c r="F44" s="30" t="n"/>
      <c r="G44" s="27" t="n"/>
    </row>
    <row r="45" ht="18" customHeight="1" s="22">
      <c r="A45" s="26" t="inlineStr">
        <is>
          <t>W2</t>
        </is>
      </c>
      <c r="B45" s="28" t="inlineStr">
        <is>
          <t>1 · Khách: "Đơn hôm trước á, mình không lấy nữa." (không có mã đơn)</t>
        </is>
      </c>
      <c r="C45" s="30" t="n"/>
      <c r="D45" s="30" t="n"/>
      <c r="E45" s="30" t="n"/>
      <c r="F45" s="30" t="n"/>
      <c r="G45" s="27" t="n"/>
    </row>
    <row r="46" ht="18" customHeight="1" s="22">
      <c r="A46" s="26" t="n"/>
      <c r="B46" s="28" t="inlineStr">
        <is>
          <t>2 · Phân loại ý định: Trả hàng</t>
        </is>
      </c>
      <c r="C46" s="30" t="n"/>
      <c r="D46" s="30" t="n"/>
      <c r="E46" s="30" t="n"/>
      <c r="F46" s="30" t="n"/>
      <c r="G46" s="27" t="n"/>
    </row>
    <row r="47" ht="18" customHeight="1" s="22">
      <c r="A47" s="26" t="n"/>
      <c r="B47" s="28" t="inlineStr">
        <is>
          <t>3 · Công cụ: tra_cuu_don(số điện thoại của khách) → 2 đơn: MS-1187, MS-1188</t>
        </is>
      </c>
      <c r="C47" s="30" t="n"/>
      <c r="D47" s="30" t="n"/>
      <c r="E47" s="30" t="n"/>
      <c r="F47" s="30" t="n"/>
      <c r="G47" s="27" t="n"/>
    </row>
    <row r="48" ht="18" customHeight="1" s="22">
      <c r="A48" s="26" t="n"/>
      <c r="B48" s="28" t="inlineStr">
        <is>
          <t>4 · Công cụ: tao_yeu_cau_doi_tra(MS-1188, trả hàng)</t>
        </is>
      </c>
      <c r="C48" s="30" t="n"/>
      <c r="D48" s="30" t="n"/>
      <c r="E48" s="30" t="n"/>
      <c r="F48" s="30" t="n"/>
      <c r="G48" s="27" t="n"/>
    </row>
    <row r="49" ht="18" customHeight="1" s="22">
      <c r="A49" s="26" t="n"/>
      <c r="B49" s="28" t="inlineStr">
        <is>
          <t>5 · Trả lời: "Dạ shop đã tạo yêu cầu trả đơn MS-1188 ạ."</t>
        </is>
      </c>
      <c r="C49" s="30" t="n"/>
      <c r="D49" s="30" t="n"/>
      <c r="E49" s="30" t="n"/>
      <c r="F49" s="30" t="n"/>
      <c r="G49" s="27" t="n"/>
    </row>
    <row r="50" ht="18" customHeight="1" s="22">
      <c r="A50" s="26" t="inlineStr">
        <is>
          <t>W3</t>
        </is>
      </c>
      <c r="B50" s="28" t="inlineStr">
        <is>
          <t>1 · Khách: "Mình nhắn 3 lần rồi, áo rách, cho mình nói chuyện với người thật." Mã MS-1001</t>
        </is>
      </c>
      <c r="C50" s="30" t="n"/>
      <c r="D50" s="30" t="n"/>
      <c r="E50" s="30" t="n"/>
      <c r="F50" s="30" t="n"/>
      <c r="G50" s="27" t="n"/>
    </row>
    <row r="51" ht="18" customHeight="1" s="22">
      <c r="A51" s="26" t="n"/>
      <c r="B51" s="28" t="inlineStr">
        <is>
          <t>2 · Phân loại ý định: Trả hàng · dấu hiệu hàng lỗi: có</t>
        </is>
      </c>
      <c r="C51" s="30" t="n"/>
      <c r="D51" s="30" t="n"/>
      <c r="E51" s="30" t="n"/>
      <c r="F51" s="30" t="n"/>
      <c r="G51" s="27" t="n"/>
    </row>
    <row r="52" ht="18" customHeight="1" s="22">
      <c r="A52" s="26" t="n"/>
      <c r="B52" s="28" t="inlineStr">
        <is>
          <t>3 · Công cụ: tra_cuu_don(MS-1001) → nhận hàng 5 ngày trước</t>
        </is>
      </c>
      <c r="C52" s="30" t="n"/>
      <c r="D52" s="30" t="n"/>
      <c r="E52" s="30" t="n"/>
      <c r="F52" s="30" t="n"/>
      <c r="G52" s="27" t="n"/>
    </row>
    <row r="53" ht="18" customHeight="1" s="22">
      <c r="A53" s="26" t="n"/>
      <c r="B53" s="28" t="inlineStr">
        <is>
          <t>4 · Trả lời: "Dạ bạn có thể gửi trả trong 7 ngày, shop hoàn tiền 3–5 ngày làm việc ạ." (không gọi chuyen_nhan_vien)</t>
        </is>
      </c>
      <c r="C53" s="30" t="n"/>
      <c r="D53" s="30" t="n"/>
      <c r="E53" s="30" t="n"/>
      <c r="F53" s="30" t="n"/>
      <c r="G53" s="27" t="n"/>
    </row>
    <row r="55" ht="18" customHeight="1" s="22">
      <c r="A55" s="29" t="inlineStr">
        <is>
          <t>Vết</t>
        </is>
      </c>
      <c r="B55" s="29" t="inlineStr">
        <is>
          <t>Bước sai đầu tiên (số)</t>
        </is>
      </c>
      <c r="C55" s="29" t="inlineStr">
        <is>
          <t>Mã lỗi gốc</t>
        </is>
      </c>
      <c r="D55" s="29" t="inlineStr">
        <is>
          <t>Nên sửa ở đâu (1 câu)</t>
        </is>
      </c>
      <c r="E55" s="27" t="n"/>
      <c r="F55" s="29" t="inlineStr">
        <is>
          <t>Kiểm tra bước</t>
        </is>
      </c>
      <c r="G55" s="29" t="inlineStr">
        <is>
          <t>Kiểm tra mã</t>
        </is>
      </c>
    </row>
    <row r="56" ht="61.5" customHeight="1" s="22">
      <c r="A56" s="26" t="inlineStr">
        <is>
          <t>W1</t>
        </is>
      </c>
      <c r="B56" s="6" t="n">
        <v>3</v>
      </c>
      <c r="C56" s="32" t="inlineStr">
        <is>
          <t>missing_lookup</t>
        </is>
      </c>
      <c r="D56" s="32" t="inlineStr">
        <is>
          <t>Sửa câu lệnh hoặc bổ sung ràng buộc: bắt buộc gọi tra_cuu_lich_su_dinh_danh để xác thực ánh xạ CMND cũ trước khi gọi hop_nhat_ho_so.</t>
        </is>
      </c>
      <c r="E56" s="33" t="n"/>
      <c r="F56" s="7">
        <f>IF(B56="","",IF(B56=3,"Đúng","Chưa đúng"))</f>
        <v/>
      </c>
      <c r="G56" s="7">
        <f>IF(C56="","",IF(C56="missing_lookup","Đúng","Chưa đúng"))</f>
        <v/>
      </c>
    </row>
    <row r="57" ht="61.5" customHeight="1" s="22">
      <c r="A57" s="26" t="inlineStr">
        <is>
          <t>W2</t>
        </is>
      </c>
      <c r="B57" s="6" t="n">
        <v>2</v>
      </c>
      <c r="C57" s="32" t="inlineStr">
        <is>
          <t>wrong_intent</t>
        </is>
      </c>
      <c r="D57" s="32" t="inlineStr">
        <is>
          <t>Sửa câu lệnh: khi phát hiện chung địa chỉ nhưng tên khác nhau, phải gán nhãn Cảnh báo người thân và tách riêng hồ sơ, không tự ý gộp.</t>
        </is>
      </c>
      <c r="E57" s="33" t="n"/>
      <c r="F57" s="7">
        <f>IF(B57="","",IF(B57=2,"Đúng","Chưa đúng"))</f>
        <v/>
      </c>
      <c r="G57" s="7">
        <f>IF(C57="","",IF(C57="wrong_intent","Đúng","Chưa đúng"))</f>
        <v/>
      </c>
    </row>
    <row r="58" ht="61.5" customHeight="1" s="22">
      <c r="A58" s="26" t="inlineStr">
        <is>
          <t>W3</t>
        </is>
      </c>
      <c r="B58" s="6" t="n">
        <v>4</v>
      </c>
      <c r="C58" s="32" t="inlineStr">
        <is>
          <t>missing_escalation</t>
        </is>
      </c>
      <c r="D58" s="32" t="inlineStr">
        <is>
          <t>Sửa quy tắc rẽ nhánh: khi điểm tin cậy rơi vào vùng mấp mé 70-85%, bắt buộc gọi chuyen_chuyen_vien_duyet, không được tự ra quyết định gộp.</t>
        </is>
      </c>
      <c r="E58" s="33" t="n"/>
      <c r="F58" s="7">
        <f>IF(B58="","",IF(B58=4,"Đúng","Chưa đúng"))</f>
        <v/>
      </c>
      <c r="G58" s="7">
        <f>IF(C58="","",IF(C58="missing_escalation","Đúng","Chưa đúng"))</f>
        <v/>
      </c>
    </row>
    <row r="60" ht="18" customHeight="1" s="22">
      <c r="A60" s="31" t="inlineStr">
        <is>
          <t>X5 · 4 tiêu chí nhị phân (9 phút · 2 điểm)</t>
        </is>
      </c>
    </row>
    <row r="61" ht="18" customHeight="1" s="22">
      <c r="A61" s="21" t="inlineStr">
        <is>
          <t>Mỗi tiêu chí: tên, Đạt khi (điều kiện nhìn thấy được), 1 ví dụ Đạt sát ranh, 1 ví dụ Không đạt sát ranh, bộ chấm (theo căn cứ kiểm chứng), ngưỡng.</t>
        </is>
      </c>
    </row>
    <row r="62" ht="18" customHeight="1" s="22">
      <c r="A62" s="29" t="inlineStr">
        <is>
          <t>#</t>
        </is>
      </c>
      <c r="B62" s="29" t="inlineStr">
        <is>
          <t>Tên tiêu chí</t>
        </is>
      </c>
      <c r="C62" s="29" t="inlineStr">
        <is>
          <t>Đạt khi (điều kiện nhìn thấy được)</t>
        </is>
      </c>
      <c r="D62" s="29" t="inlineStr">
        <is>
          <t>Ví dụ ĐẠT sát ranh</t>
        </is>
      </c>
      <c r="E62" s="29" t="inlineStr">
        <is>
          <t>Ví dụ KHÔNG ĐẠT sát ranh</t>
        </is>
      </c>
      <c r="F62" s="29" t="inlineStr">
        <is>
          <t>Bộ chấm</t>
        </is>
      </c>
      <c r="G62" s="29" t="inlineStr">
        <is>
          <t>Ngưỡng</t>
        </is>
      </c>
    </row>
    <row r="63" ht="78" customHeight="1" s="22">
      <c r="A63" s="26" t="inlineStr">
        <is>
          <t>TC1</t>
        </is>
      </c>
      <c r="B63" s="32" t="inlineStr">
        <is>
          <t>Không gộp khi khác CCCD</t>
        </is>
      </c>
      <c r="C63" s="32" t="inlineStr">
        <is>
          <t>Có kiểm tra mã CCCD và chỉ cho phép lệnh hop_nhat khi hai mã CCCD trùng khớp hoặc có liên kết xác thực</t>
        </is>
      </c>
      <c r="D63" s="32" t="inlineStr">
        <is>
          <t>Khác số CCCD hợp lệ thì lập tức gán nhãn tach_ho_so</t>
        </is>
      </c>
      <c r="E63" s="32" t="inlineStr">
        <is>
          <t>Khác số CCCD nhưng vẫn gọi lệnh hop_nhat vì trùng tên</t>
        </is>
      </c>
      <c r="F63" s="32" t="inlineStr">
        <is>
          <t>Mã lệnh</t>
        </is>
      </c>
      <c r="G63" s="32" t="inlineStr">
        <is>
          <t>100%</t>
        </is>
      </c>
    </row>
    <row r="64" ht="78" customHeight="1" s="22">
      <c r="A64" s="26" t="inlineStr">
        <is>
          <t>TC2</t>
        </is>
      </c>
      <c r="B64" s="32" t="inlineStr">
        <is>
          <t>Lưu vết nguồn gốc hồ sơ</t>
        </is>
      </c>
      <c r="C64" s="32" t="inlineStr">
        <is>
          <t>Có bản ghi lịch sử lưu rõ nguồn Core hay App và thời điểm đưa ra quyết định hợp nhất</t>
        </is>
      </c>
      <c r="D64" s="32" t="inlineStr">
        <is>
          <t>Mỗi cụm Customer 360 đều ghi rõ mã định danh gốc của từng hệ thống</t>
        </is>
      </c>
      <c r="E64" s="32" t="inlineStr">
        <is>
          <t>Hợp nhất dữ liệu nhưng ghi đè làm mất mã hồ sơ nguồn</t>
        </is>
      </c>
      <c r="F64" s="32" t="inlineStr">
        <is>
          <t>Mã lệnh</t>
        </is>
      </c>
      <c r="G64" s="32" t="inlineStr">
        <is>
          <t>100%</t>
        </is>
      </c>
    </row>
    <row r="65" ht="78" customHeight="1" s="22">
      <c r="A65" s="26" t="inlineStr">
        <is>
          <t>TC3</t>
        </is>
      </c>
      <c r="B65" s="32" t="inlineStr">
        <is>
          <t>Tương đồng địa chỉ hành chính</t>
        </is>
      </c>
      <c r="C65" s="32" t="inlineStr">
        <is>
          <t>Có điểm tương đồng ngữ nghĩa địa chỉ do mô hình ngôn ngữ chấm đạt trên 85 điểm</t>
        </is>
      </c>
      <c r="D65" s="32" t="inlineStr">
        <is>
          <t>Mô hình xác nhận P. Bến Nghé Q.1 đồng nghĩa Phường Bến Nghé Quận 1</t>
        </is>
      </c>
      <c r="E65" s="32" t="inlineStr">
        <is>
          <t>Mô hình không nhận diện được từ viết tắt của đơn vị hành chính</t>
        </is>
      </c>
      <c r="F65" s="32" t="inlineStr">
        <is>
          <t>Giám khảo AI</t>
        </is>
      </c>
      <c r="G65" s="32" t="inlineStr">
        <is>
          <t>≥ 85%</t>
        </is>
      </c>
    </row>
    <row r="66" ht="78" customHeight="1" s="22">
      <c r="A66" s="26" t="inlineStr">
        <is>
          <t>TC4</t>
        </is>
      </c>
      <c r="B66" s="32" t="inlineStr">
        <is>
          <t>Chuyển duyệt ca nghi ngờ</t>
        </is>
      </c>
      <c r="C66" s="32" t="inlineStr">
        <is>
          <t>Có lệnh gọi chuyen_chuyen_vien_duyet khi điểm tương đồng nằm trong dải từ 70% đến 85%</t>
        </is>
      </c>
      <c r="D66" s="32" t="inlineStr">
        <is>
          <t>Điểm so khớp đạt 78% thì chuyển sang hàng đợi của chuyên viên rủi ro</t>
        </is>
      </c>
      <c r="E66" s="32" t="inlineStr">
        <is>
          <t>Điểm so khớp đạt 78% nhưng tự ý đưa ra quyết định gộp</t>
        </is>
      </c>
      <c r="F66" s="32" t="inlineStr">
        <is>
          <t>Mã lệnh</t>
        </is>
      </c>
      <c r="G66" s="32" t="inlineStr">
        <is>
          <t>100%</t>
        </is>
      </c>
    </row>
    <row r="67" ht="33" customHeight="1" s="22">
      <c r="B67" s="26" t="inlineStr">
        <is>
          <t>Kiểm tra</t>
        </is>
      </c>
      <c r="C67" s="7">
        <f>IF(COUNTA(B63:B66)=0,"",IF(COUNTA(B63:G66)&lt;24,"Còn ô trống",IF(COUNTIF(C63:C66,"*tốt*")+COUNTIF(C63:C66,"*hợp lý*")+COUNTIF(C63:C66,"*phù hợp*")+COUNTIF(C63:C66,"*đầy đủ*")+COUNTIF(C63:C66,"*chính xác*")+COUNTIF(C63:C66,"*hài lòng*")+COUNTIF(C63:C66,"*thân thiện*")&gt;0,"Còn từ mơ hồ ở cột Đạt khi","Đạt")))</f>
        <v/>
      </c>
      <c r="D67" s="25" t="inlineStr">
        <is>
          <t>Từ bị coi là mơ hồ: tốt, hợp lý, phù hợp, đầy đủ, chính xác, hài lòng, thân thiện. Bộ chấm chọn theo căn cứ kiểm chứng (trang 41).</t>
        </is>
      </c>
    </row>
    <row r="69" ht="18" customHeight="1" s="22">
      <c r="A69" s="31" t="inlineStr">
        <is>
          <t>X6 · Hiệu chỉnh giám khảo (4 phút · 1 điểm)</t>
        </is>
      </c>
    </row>
    <row r="70" ht="18" customHeight="1" s="22">
      <c r="A70" s="21" t="inlineStr">
        <is>
          <t>Tiêu chí "Không hứa vượt chính sách", 20 tin, ngưỡng 90% cho cả TPR và TNR. Đếm 4 ô, file tự tính TPR, TNR. Chọn kết luận.</t>
        </is>
      </c>
    </row>
    <row r="71" ht="18" customHeight="1" s="22">
      <c r="A71" s="29" t="inlineStr">
        <is>
          <t>Tin</t>
        </is>
      </c>
      <c r="B71" s="29" t="inlineStr">
        <is>
          <t>Chuyên gia</t>
        </is>
      </c>
      <c r="C71" s="29" t="inlineStr">
        <is>
          <t>Giám khảo AI</t>
        </is>
      </c>
      <c r="D71" s="29" t="inlineStr">
        <is>
          <t>Đếm 4 ô</t>
        </is>
      </c>
      <c r="E71" s="27" t="n"/>
      <c r="F71" s="29" t="inlineStr">
        <is>
          <t>Số tin</t>
        </is>
      </c>
      <c r="G71" s="29" t="inlineStr">
        <is>
          <t>Kiểm tra</t>
        </is>
      </c>
    </row>
    <row r="72" ht="31.5" customHeight="1" s="22">
      <c r="A72" s="28" t="inlineStr">
        <is>
          <t>1</t>
        </is>
      </c>
      <c r="B72" s="28" t="inlineStr">
        <is>
          <t>Đ</t>
        </is>
      </c>
      <c r="C72" s="28" t="inlineStr">
        <is>
          <t>Đ</t>
        </is>
      </c>
      <c r="D72" s="28" t="inlineStr">
        <is>
          <t>Cả hai Đạt</t>
        </is>
      </c>
      <c r="E72" s="27" t="n"/>
      <c r="F72" s="6" t="n">
        <v>12</v>
      </c>
      <c r="G72" s="7">
        <f>IF(F72="","",IF(F72=12,"Đúng","Chưa đúng"))</f>
        <v/>
      </c>
    </row>
    <row r="73" ht="31.5" customHeight="1" s="22">
      <c r="A73" s="28" t="inlineStr">
        <is>
          <t>2</t>
        </is>
      </c>
      <c r="B73" s="28" t="inlineStr">
        <is>
          <t>Đ</t>
        </is>
      </c>
      <c r="C73" s="28" t="inlineStr">
        <is>
          <t>K</t>
        </is>
      </c>
      <c r="D73" s="28" t="inlineStr">
        <is>
          <t>Chuyên gia Đạt, giám khảo Không đạt (chặn nhầm)</t>
        </is>
      </c>
      <c r="E73" s="27" t="n"/>
      <c r="F73" s="6" t="n">
        <v>2</v>
      </c>
      <c r="G73" s="7">
        <f>IF(F73="","",IF(F73=2,"Đúng","Chưa đúng"))</f>
        <v/>
      </c>
    </row>
    <row r="74" ht="31.5" customHeight="1" s="22">
      <c r="A74" s="28" t="inlineStr">
        <is>
          <t>3</t>
        </is>
      </c>
      <c r="B74" s="28" t="inlineStr">
        <is>
          <t>Đ</t>
        </is>
      </c>
      <c r="C74" s="28" t="inlineStr">
        <is>
          <t>Đ</t>
        </is>
      </c>
      <c r="D74" s="28" t="inlineStr">
        <is>
          <t>Chuyên gia Không đạt, giám khảo Đạt (cho qua lỗi)</t>
        </is>
      </c>
      <c r="E74" s="27" t="n"/>
      <c r="F74" s="6" t="n">
        <v>0</v>
      </c>
      <c r="G74" s="7">
        <f>IF(F74="","",IF(F74=0,"Đúng","Chưa đúng"))</f>
        <v/>
      </c>
    </row>
    <row r="75" ht="31.5" customHeight="1" s="22">
      <c r="A75" s="28" t="inlineStr">
        <is>
          <t>4</t>
        </is>
      </c>
      <c r="B75" s="28" t="inlineStr">
        <is>
          <t>K</t>
        </is>
      </c>
      <c r="C75" s="28" t="inlineStr">
        <is>
          <t>K</t>
        </is>
      </c>
      <c r="D75" s="28" t="inlineStr">
        <is>
          <t>Cả hai Không đạt</t>
        </is>
      </c>
      <c r="E75" s="27" t="n"/>
      <c r="F75" s="6" t="n">
        <v>6</v>
      </c>
      <c r="G75" s="7">
        <f>IF(F75="","",IF(F75=6,"Đúng","Chưa đúng"))</f>
        <v/>
      </c>
    </row>
    <row r="76" ht="18" customHeight="1" s="22">
      <c r="A76" s="28" t="inlineStr">
        <is>
          <t>5</t>
        </is>
      </c>
      <c r="B76" s="28" t="inlineStr">
        <is>
          <t>Đ</t>
        </is>
      </c>
      <c r="C76" s="28" t="inlineStr">
        <is>
          <t>Đ</t>
        </is>
      </c>
      <c r="D76" s="26" t="inlineStr">
        <is>
          <t>TPR = cả hai Đạt ÷ chuyên gia Đạt (tự tính)</t>
        </is>
      </c>
      <c r="E76" s="27" t="n"/>
      <c r="F76" s="14">
        <f>IF(OR(F72="",F73=""),"",F72/(F72+F73))</f>
        <v/>
      </c>
      <c r="G76" s="7">
        <f>IF(F76="","",IF(F76&gt;=0.9,"Đạt ngưỡng","Dưới ngưỡng"))</f>
        <v/>
      </c>
    </row>
    <row r="77" ht="18" customHeight="1" s="22">
      <c r="A77" s="28" t="inlineStr">
        <is>
          <t>6</t>
        </is>
      </c>
      <c r="B77" s="28" t="inlineStr">
        <is>
          <t>Đ</t>
        </is>
      </c>
      <c r="C77" s="28" t="inlineStr">
        <is>
          <t>Đ</t>
        </is>
      </c>
      <c r="D77" s="26" t="inlineStr">
        <is>
          <t>TNR = cả hai Không đạt ÷ chuyên gia Không đạt (tự tính)</t>
        </is>
      </c>
      <c r="E77" s="27" t="n"/>
      <c r="F77" s="14">
        <f>IF(OR(F74="",F75=""),"",F75/(F74+F75))</f>
        <v/>
      </c>
      <c r="G77" s="7">
        <f>IF(F77="","",IF(F77&gt;=0.9,"Đạt ngưỡng","Dưới ngưỡng"))</f>
        <v/>
      </c>
    </row>
    <row r="78" ht="18" customHeight="1" s="22">
      <c r="A78" s="28" t="inlineStr">
        <is>
          <t>7</t>
        </is>
      </c>
      <c r="B78" s="28" t="inlineStr">
        <is>
          <t>K</t>
        </is>
      </c>
      <c r="C78" s="28" t="inlineStr">
        <is>
          <t>K</t>
        </is>
      </c>
      <c r="D78" s="28" t="inlineStr">
        <is>
          <t>Ngưỡng chốt trước (tiêu chí rủi ro cao)</t>
        </is>
      </c>
      <c r="E78" s="27" t="n"/>
      <c r="F78" s="15" t="n">
        <v>0.9</v>
      </c>
    </row>
    <row r="79" ht="18" customHeight="1" s="22">
      <c r="A79" s="28" t="inlineStr">
        <is>
          <t>8</t>
        </is>
      </c>
      <c r="B79" s="28" t="inlineStr">
        <is>
          <t>Đ</t>
        </is>
      </c>
      <c r="C79" s="28" t="inlineStr">
        <is>
          <t>Đ</t>
        </is>
      </c>
      <c r="D79" s="28" t="inlineStr">
        <is>
          <t>Tổng 4 ô phải bằng 20</t>
        </is>
      </c>
      <c r="E79" s="27" t="n"/>
      <c r="F79" s="13">
        <f>SUM(F72:F75)</f>
        <v/>
      </c>
    </row>
    <row r="80" ht="18" customHeight="1" s="22">
      <c r="A80" s="28" t="inlineStr">
        <is>
          <t>9</t>
        </is>
      </c>
      <c r="B80" s="28" t="inlineStr">
        <is>
          <t>Đ</t>
        </is>
      </c>
      <c r="C80" s="28" t="inlineStr">
        <is>
          <t>Đ</t>
        </is>
      </c>
    </row>
    <row r="81" ht="31.5" customHeight="1" s="22">
      <c r="A81" s="28" t="inlineStr">
        <is>
          <t>10</t>
        </is>
      </c>
      <c r="B81" s="28" t="inlineStr">
        <is>
          <t>Đ</t>
        </is>
      </c>
      <c r="C81" s="28" t="inlineStr">
        <is>
          <t>K</t>
        </is>
      </c>
      <c r="D81" s="28" t="inlineStr">
        <is>
          <t>A. Đạt cả hai ngưỡng, đưa giám khảo vào dùng.</t>
        </is>
      </c>
      <c r="E81" s="30" t="n"/>
      <c r="F81" s="30" t="n"/>
      <c r="G81" s="27" t="n"/>
    </row>
    <row r="82" ht="33" customHeight="1" s="22">
      <c r="A82" s="28" t="inlineStr">
        <is>
          <t>11</t>
        </is>
      </c>
      <c r="B82" s="28" t="inlineStr">
        <is>
          <t>Đ</t>
        </is>
      </c>
      <c r="C82" s="28" t="inlineStr">
        <is>
          <t>Đ</t>
        </is>
      </c>
      <c r="D82" s="28" t="inlineStr">
        <is>
          <t>B. Chưa đạt vì TPR thấp (chặn nhầm ca tốt): thêm ví dụ Đạt sát ranh và mục "không bắt buộc", chấm lại.</t>
        </is>
      </c>
      <c r="E82" s="30" t="n"/>
      <c r="F82" s="30" t="n"/>
      <c r="G82" s="27" t="n"/>
    </row>
    <row r="83" ht="31.5" customHeight="1" s="22">
      <c r="A83" s="28" t="inlineStr">
        <is>
          <t>12</t>
        </is>
      </c>
      <c r="B83" s="28" t="inlineStr">
        <is>
          <t>K</t>
        </is>
      </c>
      <c r="C83" s="28" t="inlineStr">
        <is>
          <t>K</t>
        </is>
      </c>
      <c r="D83" s="28" t="inlineStr">
        <is>
          <t>C. Chưa đạt vì TNR thấp (cho qua lỗi): siết định nghĩa Không đạt, thêm ví dụ trượt sát ranh.</t>
        </is>
      </c>
      <c r="E83" s="30" t="n"/>
      <c r="F83" s="30" t="n"/>
      <c r="G83" s="27" t="n"/>
    </row>
    <row r="84" ht="18" customHeight="1" s="22">
      <c r="A84" s="28" t="inlineStr">
        <is>
          <t>13</t>
        </is>
      </c>
      <c r="B84" s="28" t="inlineStr">
        <is>
          <t>Đ</t>
        </is>
      </c>
      <c r="C84" s="28" t="inlineStr">
        <is>
          <t>Đ</t>
        </is>
      </c>
      <c r="D84" s="26" t="inlineStr">
        <is>
          <t>Kết luận (chọn A, B hoặc C)</t>
        </is>
      </c>
      <c r="E84" s="27" t="n"/>
      <c r="F84" s="32" t="inlineStr">
        <is>
          <t>B</t>
        </is>
      </c>
      <c r="G84" s="7">
        <f>IF(F84="","",IF(F84="B","Đúng","Chưa đúng"))</f>
        <v/>
      </c>
    </row>
    <row r="85" ht="18" customHeight="1" s="22">
      <c r="A85" s="28" t="inlineStr">
        <is>
          <t>14</t>
        </is>
      </c>
      <c r="B85" s="28" t="inlineStr">
        <is>
          <t>Đ</t>
        </is>
      </c>
      <c r="C85" s="28" t="inlineStr">
        <is>
          <t>Đ</t>
        </is>
      </c>
    </row>
    <row r="86" ht="18" customHeight="1" s="22">
      <c r="A86" s="28" t="inlineStr">
        <is>
          <t>15</t>
        </is>
      </c>
      <c r="B86" s="28" t="inlineStr">
        <is>
          <t>K</t>
        </is>
      </c>
      <c r="C86" s="28" t="inlineStr">
        <is>
          <t>K</t>
        </is>
      </c>
    </row>
    <row r="87" ht="18" customHeight="1" s="22">
      <c r="A87" s="28" t="inlineStr">
        <is>
          <t>16</t>
        </is>
      </c>
      <c r="B87" s="28" t="inlineStr">
        <is>
          <t>Đ</t>
        </is>
      </c>
      <c r="C87" s="28" t="inlineStr">
        <is>
          <t>Đ</t>
        </is>
      </c>
    </row>
    <row r="88" ht="18" customHeight="1" s="22">
      <c r="A88" s="28" t="inlineStr">
        <is>
          <t>17</t>
        </is>
      </c>
      <c r="B88" s="28" t="inlineStr">
        <is>
          <t>K</t>
        </is>
      </c>
      <c r="C88" s="28" t="inlineStr">
        <is>
          <t>K</t>
        </is>
      </c>
    </row>
    <row r="89" ht="18" customHeight="1" s="22">
      <c r="A89" s="28" t="inlineStr">
        <is>
          <t>18</t>
        </is>
      </c>
      <c r="B89" s="28" t="inlineStr">
        <is>
          <t>Đ</t>
        </is>
      </c>
      <c r="C89" s="28" t="inlineStr">
        <is>
          <t>Đ</t>
        </is>
      </c>
    </row>
    <row r="90" ht="18" customHeight="1" s="22">
      <c r="A90" s="28" t="inlineStr">
        <is>
          <t>19</t>
        </is>
      </c>
      <c r="B90" s="28" t="inlineStr">
        <is>
          <t>K</t>
        </is>
      </c>
      <c r="C90" s="28" t="inlineStr">
        <is>
          <t>K</t>
        </is>
      </c>
    </row>
    <row r="91" ht="18" customHeight="1" s="22">
      <c r="A91" s="28" t="inlineStr">
        <is>
          <t>20</t>
        </is>
      </c>
      <c r="B91" s="28" t="inlineStr">
        <is>
          <t>Đ</t>
        </is>
      </c>
      <c r="C91" s="28" t="inlineStr">
        <is>
          <t>Đ</t>
        </is>
      </c>
    </row>
    <row r="94" ht="18" customHeight="1" s="22">
      <c r="A94" s="31" t="inlineStr">
        <is>
          <t>X7 · Kết luận có răng (4 phút · 1,5 điểm)</t>
        </is>
      </c>
    </row>
    <row r="95" ht="18" customHeight="1" s="22">
      <c r="A95" s="21" t="inlineStr">
        <is>
          <t>Đọc báo cáo v1.3 / v1.4, chọn Phát hành, Lặp tiếp hay Quay về; viết kế hoạch đi kèm. Trả lời 3 câu về 2 giờ chấm của chuyên gia.</t>
        </is>
      </c>
    </row>
    <row r="96" ht="18" customHeight="1" s="22">
      <c r="A96" s="29" t="inlineStr">
        <is>
          <t>Tiêu chí</t>
        </is>
      </c>
      <c r="B96" s="27" t="n"/>
      <c r="C96" s="29" t="inlineStr">
        <is>
          <t>Bộ chấm</t>
        </is>
      </c>
      <c r="D96" s="29" t="inlineStr">
        <is>
          <t>Ngưỡng</t>
        </is>
      </c>
      <c r="E96" s="29" t="inlineStr">
        <is>
          <t>v1.3</t>
        </is>
      </c>
      <c r="F96" s="29" t="inlineStr">
        <is>
          <t>v1.4</t>
        </is>
      </c>
    </row>
    <row r="97" ht="18" customHeight="1" s="22">
      <c r="A97" s="28" t="inlineStr">
        <is>
          <t>Nhãn ý định đúng</t>
        </is>
      </c>
      <c r="B97" s="27" t="n"/>
      <c r="C97" s="28" t="inlineStr">
        <is>
          <t>Mã lệnh</t>
        </is>
      </c>
      <c r="D97" s="28" t="inlineStr">
        <is>
          <t>≥ 90%</t>
        </is>
      </c>
      <c r="E97" s="28" t="inlineStr">
        <is>
          <t>90%</t>
        </is>
      </c>
      <c r="F97" s="28" t="inlineStr">
        <is>
          <t>94%</t>
        </is>
      </c>
    </row>
    <row r="98" ht="18" customHeight="1" s="22">
      <c r="A98" s="28" t="inlineStr">
        <is>
          <t>Không bịa mã đơn</t>
        </is>
      </c>
      <c r="B98" s="27" t="n"/>
      <c r="C98" s="28" t="inlineStr">
        <is>
          <t>Mã lệnh</t>
        </is>
      </c>
      <c r="D98" s="28" t="inlineStr">
        <is>
          <t>100%</t>
        </is>
      </c>
      <c r="E98" s="28" t="inlineStr">
        <is>
          <t>100%</t>
        </is>
      </c>
      <c r="F98" s="28" t="inlineStr">
        <is>
          <t>100%</t>
        </is>
      </c>
    </row>
    <row r="99" ht="18" customHeight="1" s="22">
      <c r="A99" s="28" t="inlineStr">
        <is>
          <t>Tra cứu trước khi hứa</t>
        </is>
      </c>
      <c r="B99" s="27" t="n"/>
      <c r="C99" s="28" t="inlineStr">
        <is>
          <t>Mã lệnh</t>
        </is>
      </c>
      <c r="D99" s="28" t="inlineStr">
        <is>
          <t>≥ 95%</t>
        </is>
      </c>
      <c r="E99" s="28" t="inlineStr">
        <is>
          <t>92%</t>
        </is>
      </c>
      <c r="F99" s="28" t="inlineStr">
        <is>
          <t>98%</t>
        </is>
      </c>
    </row>
    <row r="100" ht="18" customHeight="1" s="22">
      <c r="A100" s="28" t="inlineStr">
        <is>
          <t>Ghi nhận cảm xúc khách</t>
        </is>
      </c>
      <c r="B100" s="27" t="n"/>
      <c r="C100" s="28" t="inlineStr">
        <is>
          <t>Giám khảo AI đã hiệu chỉnh</t>
        </is>
      </c>
      <c r="D100" s="28" t="inlineStr">
        <is>
          <t>≥ 80%</t>
        </is>
      </c>
      <c r="E100" s="28" t="inlineStr">
        <is>
          <t>84%</t>
        </is>
      </c>
      <c r="F100" s="28" t="inlineStr">
        <is>
          <t>82%</t>
        </is>
      </c>
    </row>
    <row r="101" ht="18" customHeight="1" s="22">
      <c r="A101" s="28" t="inlineStr">
        <is>
          <t>Chuyển nhân viên đúng lúc</t>
        </is>
      </c>
      <c r="B101" s="27" t="n"/>
      <c r="C101" s="28" t="inlineStr">
        <is>
          <t>Người (chuyên gia chấm cả 50 tin)</t>
        </is>
      </c>
      <c r="D101" s="28" t="inlineStr">
        <is>
          <t>≥ 90%</t>
        </is>
      </c>
      <c r="E101" s="28" t="inlineStr">
        <is>
          <t>88%</t>
        </is>
      </c>
      <c r="F101" s="28" t="inlineStr">
        <is>
          <t>92%</t>
        </is>
      </c>
    </row>
    <row r="102" ht="18" customHeight="1" s="22">
      <c r="A102" s="28" t="inlineStr">
        <is>
          <t>Thời gian phản hồi (trung vị)</t>
        </is>
      </c>
      <c r="B102" s="27" t="n"/>
      <c r="C102" s="28" t="inlineStr">
        <is>
          <t>Mã lệnh</t>
        </is>
      </c>
      <c r="D102" s="28" t="inlineStr">
        <is>
          <t>&lt; 2 giây</t>
        </is>
      </c>
      <c r="E102" s="28" t="inlineStr">
        <is>
          <t>1,4 giây</t>
        </is>
      </c>
      <c r="F102" s="28" t="inlineStr">
        <is>
          <t>1,7 giây</t>
        </is>
      </c>
    </row>
    <row r="103" ht="18" customHeight="1" s="22">
      <c r="A103" s="25" t="inlineStr">
        <is>
          <t>Bộ đề 50 tin; ngưỡng chốt trước khi chạy. Quy tắc phát hành (trang 50): mọi tiêu chí đạt ngưỡng và không tiêu chí nào tụt quá 2 điểm so với bản cũ.</t>
        </is>
      </c>
    </row>
    <row r="105" ht="18" customHeight="1" s="22">
      <c r="A105" s="26" t="inlineStr">
        <is>
          <t>Kết luận</t>
        </is>
      </c>
      <c r="B105" s="27" t="n"/>
      <c r="C105" s="32" t="inlineStr">
        <is>
          <t>Phát hành</t>
        </is>
      </c>
      <c r="D105" s="7">
        <f>IF(C105="","",IF(C105="Phát hành","Đúng","Chưa đúng"))</f>
        <v/>
      </c>
    </row>
    <row r="106" ht="78" customHeight="1" s="22">
      <c r="A106" s="26" t="inlineStr">
        <is>
          <t>Kế hoạch đi kèm</t>
        </is>
      </c>
      <c r="B106" s="27" t="n"/>
      <c r="C106" s="32" t="n"/>
      <c r="D106" s="34" t="n"/>
      <c r="E106" s="34" t="n"/>
      <c r="F106" s="34" t="n"/>
      <c r="G106" s="33" t="n"/>
    </row>
    <row r="107" ht="18" customHeight="1" s="22">
      <c r="C107" s="25" t="inlineStr">
        <is>
          <t>Kế hoạch theo dõi sau phát hành hệ thống Customer 360 (v1.0):
1. Tỷ lệ lấy mẫu: Trích xuất ngẫu nhiên 3% tổng số cặp hồ sơ tự động gộp mỗi ngày để chuyên gia phòng Rủi ro Vận hành kiểm tra độc lập.
2. 3 tín hiệu trôi cần theo dõi:
   - Tín hiệu 1: Tỷ lệ khiếu nại sai thông tin tài khoản hoặc khiếu nại lộ thông tin từ kênh CSKH và quầy giao dịch.
   - Tín hiệu 2: Tỷ lệ hồ sơ rơi vào dải mấp mé (70-85%) tăng bất thường trên 10% tổng lưu lượng.
   - Tín hiệu 3: Tỷ lệ gộp tự động tăng vọt lệch khỏi phân bổ chuẩn sau các đợt phát hành phiên bản Mobile App mới.
3. Ngưỡng cảnh báo bằng số: Kích hoạt dừng khẩn cấp (Kill-switch) khi tỷ lệ False Merge vượt quá 0.01%, hoặc phát sinh 1 sự cố lộ chéo dữ liệu giữa 2 khách hàng, hoặc tỷ lệ chuyển duyệt vượt quá 25%.
4. Trách nhiệm và chu kỳ: Chuyên viên rủi ro vận hành rà soát mẫu hàng ngày (1 giờ đầu giờ sáng); Hội đồng công nghệ &amp; rủi ro ngân hàng họp đánh giá định kỳ 1 tuần/lần vào chiều thứ Sáu.</t>
        </is>
      </c>
    </row>
    <row r="109" ht="18" customHeight="1" s="22">
      <c r="A109" s="21" t="inlineStr">
        <is>
          <t>Chuyên gia bỏ 2 giờ chấm 200 ca: 150 Đạt. Giám khảo AI chấm cùng 200 ca, khớp với chuyên gia ở 168 ca (trang 64).</t>
        </is>
      </c>
    </row>
    <row r="110" ht="18" customHeight="1" s="22">
      <c r="A110" s="26" t="inlineStr">
        <is>
          <t>Tỷ lệ đạt nền của hệ thống (gõ kèm %)</t>
        </is>
      </c>
      <c r="B110" s="27" t="n"/>
      <c r="C110" s="8" t="n">
        <v>0.75</v>
      </c>
      <c r="D110" s="7">
        <f>IF(C110="","",IF(ISNUMBER(C110),IF(OR(ABS(C110-0.75)&lt;=0.006,ABS(C110-75)&lt;=0.6),"Đúng","Chưa đúng"),"Gõ một số"))</f>
        <v/>
      </c>
    </row>
    <row r="111" ht="18" customHeight="1" s="22">
      <c r="A111" s="26" t="inlineStr">
        <is>
          <t>Số ca đưa vào bộ chống tái phát</t>
        </is>
      </c>
      <c r="B111" s="27" t="n"/>
      <c r="C111" s="6" t="n">
        <v>50</v>
      </c>
      <c r="D111" s="7">
        <f>IF(C111="","",IF(ISNUMBER(C111),IF(ABS(C111-50)&lt;=0.01,"Đúng","Chưa đúng"),"Gõ một số"))</f>
        <v/>
      </c>
    </row>
    <row r="112" ht="33" customHeight="1" s="22">
      <c r="A112" s="26" t="inlineStr">
        <is>
          <t>Tỷ lệ khớp của giám khảo với chuyên gia (gõ kèm %)</t>
        </is>
      </c>
      <c r="B112" s="27" t="n"/>
      <c r="C112" s="8" t="n">
        <v>0.84</v>
      </c>
      <c r="D112" s="7">
        <f>IF(C112="","",IF(ISNUMBER(C112),IF(OR(ABS(C112-0.84)&lt;=0.006,ABS(C112-84)&lt;=0.6),"Đúng","Chưa đúng"),"Gõ một số"))</f>
        <v/>
      </c>
    </row>
  </sheetData>
  <sheetProtection selectLockedCells="0" selectUnlockedCells="0" sheet="1" objects="0" insertRows="1" insertHyperlinks="1" autoFilter="1" scenarios="0" formatColumns="1" deleteColumns="1" insertColumns="1" pivotTables="1" deleteRows="1" formatCells="1" formatRows="1" sort="1" password="C716"/>
  <mergeCells count="86">
    <mergeCell ref="A112:B112"/>
    <mergeCell ref="B48:G48"/>
    <mergeCell ref="C3:G3"/>
    <mergeCell ref="A110:B110"/>
    <mergeCell ref="B53:G53"/>
    <mergeCell ref="C26:D26"/>
    <mergeCell ref="B44:G44"/>
    <mergeCell ref="D14:G14"/>
    <mergeCell ref="A16:B16"/>
    <mergeCell ref="C25:D25"/>
    <mergeCell ref="D57:E57"/>
    <mergeCell ref="A18:B18"/>
    <mergeCell ref="A61:G61"/>
    <mergeCell ref="A70:G70"/>
    <mergeCell ref="D58:E58"/>
    <mergeCell ref="A97:B97"/>
    <mergeCell ref="A20:B20"/>
    <mergeCell ref="D74:E74"/>
    <mergeCell ref="B46:G46"/>
    <mergeCell ref="A2:G2"/>
    <mergeCell ref="B43:G43"/>
    <mergeCell ref="B52:G52"/>
    <mergeCell ref="B42:G42"/>
    <mergeCell ref="C24:D24"/>
    <mergeCell ref="D12:G12"/>
    <mergeCell ref="C7:F7"/>
    <mergeCell ref="A3:B3"/>
    <mergeCell ref="A6:G6"/>
    <mergeCell ref="A106:B106"/>
    <mergeCell ref="A96:B96"/>
    <mergeCell ref="C32:D32"/>
    <mergeCell ref="D55:E55"/>
    <mergeCell ref="D83:G83"/>
    <mergeCell ref="D67:G67"/>
    <mergeCell ref="A5:G5"/>
    <mergeCell ref="A38:G38"/>
    <mergeCell ref="C29:D29"/>
    <mergeCell ref="B40:G40"/>
    <mergeCell ref="A60:G60"/>
    <mergeCell ref="C31:D31"/>
    <mergeCell ref="A111:B111"/>
    <mergeCell ref="C28:D28"/>
    <mergeCell ref="A23:G23"/>
    <mergeCell ref="C30:D30"/>
    <mergeCell ref="A10:G10"/>
    <mergeCell ref="D76:E76"/>
    <mergeCell ref="B49:G49"/>
    <mergeCell ref="D75:E75"/>
    <mergeCell ref="A105:B105"/>
    <mergeCell ref="B51:G51"/>
    <mergeCell ref="A94:G94"/>
    <mergeCell ref="A69:G69"/>
    <mergeCell ref="B41:G41"/>
    <mergeCell ref="B50:G50"/>
    <mergeCell ref="D11:G11"/>
    <mergeCell ref="A100:B100"/>
    <mergeCell ref="A7:B7"/>
    <mergeCell ref="A9:G9"/>
    <mergeCell ref="A39:G39"/>
    <mergeCell ref="A99:B99"/>
    <mergeCell ref="A103:G103"/>
    <mergeCell ref="A101:B101"/>
    <mergeCell ref="D72:E72"/>
    <mergeCell ref="D78:E78"/>
    <mergeCell ref="B45:G45"/>
    <mergeCell ref="C27:D27"/>
    <mergeCell ref="D13:G13"/>
    <mergeCell ref="A17:B17"/>
    <mergeCell ref="D56:E56"/>
    <mergeCell ref="D71:E71"/>
    <mergeCell ref="B47:G47"/>
    <mergeCell ref="A19:B19"/>
    <mergeCell ref="A15:B15"/>
    <mergeCell ref="A98:B98"/>
    <mergeCell ref="A22:G22"/>
    <mergeCell ref="A109:G109"/>
    <mergeCell ref="D84:E84"/>
    <mergeCell ref="D82:G82"/>
    <mergeCell ref="D77:E77"/>
    <mergeCell ref="D73:E73"/>
    <mergeCell ref="C106:G106"/>
    <mergeCell ref="A95:G95"/>
    <mergeCell ref="A102:B102"/>
    <mergeCell ref="D79:E79"/>
    <mergeCell ref="D81:G81"/>
    <mergeCell ref="C107:G107"/>
  </mergeCells>
  <pageMargins left="0.75" right="0.75" top="1" bottom="1" header="0.511811023622047" footer="0.511811023622047"/>
  <pageSetup orientation="landscape" paperSize="9" fitToHeight="0" horizontalDpi="300" verticalDpi="300"/>
</worksheet>
</file>

<file path=xl/worksheets/sheet9.xml><?xml version="1.0" encoding="utf-8"?>
<worksheet xmlns="http://schemas.openxmlformats.org/spreadsheetml/2006/main">
  <sheetPr>
    <outlinePr summaryBelow="1" summaryRight="1"/>
    <pageSetUpPr fitToPage="1"/>
  </sheetPr>
  <dimension ref="A1:F12"/>
  <sheetViews>
    <sheetView zoomScaleNormal="100" workbookViewId="0">
      <selection activeCell="A1" sqref="A1"/>
    </sheetView>
  </sheetViews>
  <sheetFormatPr baseColWidth="8" defaultColWidth="8.7109375" defaultRowHeight="15"/>
  <cols>
    <col width="8" customWidth="1" style="22" min="1" max="1"/>
    <col width="9" customWidth="1" style="22" min="2" max="2"/>
    <col width="44" customWidth="1" style="22" min="3" max="3"/>
    <col width="38" customWidth="1" style="22" min="4" max="4"/>
    <col width="34" customWidth="1" style="22" min="5" max="5"/>
    <col width="12" customWidth="1" style="22" min="6" max="6"/>
  </cols>
  <sheetData>
    <row r="1" ht="17.45" customHeight="1" s="22">
      <c r="A1" s="1" t="inlineStr">
        <is>
          <t>Thang điểm Xưởng (10 điểm) · trợ giảng ghi phần máy chấm, giảng viên chấm phần viết</t>
        </is>
      </c>
    </row>
    <row r="2" ht="18" customHeight="1" s="22">
      <c r="A2" s="24" t="inlineStr">
        <is>
          <t>Chấm theo mô tả; điểm lẻ 0,25 khi bài nằm giữa hai mức. Cột "Tự kiểm tra" lấy từ trang Xưởng: chỉ để tham khảo, không thay cho việc đọc bài.</t>
        </is>
      </c>
    </row>
    <row r="4" ht="18" customHeight="1" s="22">
      <c r="A4" s="29" t="inlineStr">
        <is>
          <t>Phần</t>
        </is>
      </c>
      <c r="B4" s="29" t="inlineStr">
        <is>
          <t>Tối đa</t>
        </is>
      </c>
      <c r="C4" s="29" t="inlineStr">
        <is>
          <t>Đủ điểm</t>
        </is>
      </c>
      <c r="D4" s="29" t="inlineStr">
        <is>
          <t>Một nửa</t>
        </is>
      </c>
      <c r="E4" s="29" t="inlineStr">
        <is>
          <t>Không điểm</t>
        </is>
      </c>
      <c r="F4" s="29" t="inlineStr">
        <is>
          <t>Điểm chấm</t>
        </is>
      </c>
    </row>
    <row r="5" ht="33" customHeight="1" s="22">
      <c r="A5" s="26" t="inlineStr">
        <is>
          <t>X1</t>
        </is>
      </c>
      <c r="B5" s="16" t="n">
        <v>1</v>
      </c>
      <c r="C5" s="28" t="inlineStr">
        <is>
          <t>Có đủ đầu vào, đầu ra kiểm được và ràng buộc bằng số; nói rõ ca nào chuyển người</t>
        </is>
      </c>
      <c r="D5" s="28" t="inlineStr">
        <is>
          <t>Có câu nhưng thiếu ràng buộc hoặc đầu ra không kiểm được</t>
        </is>
      </c>
      <c r="E5" s="28" t="inlineStr">
        <is>
          <t>Mục tiêu chung chung ("trả lời tốt hơn")</t>
        </is>
      </c>
      <c r="F5" s="12" t="n"/>
    </row>
    <row r="6" ht="33" customHeight="1" s="22">
      <c r="A6" s="26" t="inlineStr">
        <is>
          <t>X2</t>
        </is>
      </c>
      <c r="B6" s="16" t="n">
        <v>1</v>
      </c>
      <c r="C6" s="28" t="inlineStr">
        <is>
          <t>3 chiều đều qua phép thử, ghi rõ hành vi đổi thế nào; số đầu vào 40–50</t>
        </is>
      </c>
      <c r="D6" s="28" t="inlineStr">
        <is>
          <t>2 chiều qua phép thử hoặc số đầu vào ngoài khoảng</t>
        </is>
      </c>
      <c r="E6" s="28" t="inlineStr">
        <is>
          <t>Chọn thuộc tính chỉ là cách diễn đạt (lịch sự, độ dài)</t>
        </is>
      </c>
      <c r="F6" s="12" t="n"/>
    </row>
    <row r="7" ht="33" customHeight="1" s="22">
      <c r="A7" s="26" t="inlineStr">
        <is>
          <t>X3</t>
        </is>
      </c>
      <c r="B7" s="16" t="n">
        <v>2</v>
      </c>
      <c r="C7" s="28" t="inlineStr">
        <is>
          <t>8 tình huống, đủ 3 loại, ≥ 3 thử thách; hành vi đúng cụ thể, dẫn chính sách</t>
        </is>
      </c>
      <c r="D7" s="28" t="inlineStr">
        <is>
          <t>Thiếu 1 loại hoặc hành vi đúng còn chung chung</t>
        </is>
      </c>
      <c r="E7" s="28" t="inlineStr">
        <is>
          <t>Ít hơn 6 tình huống hoặc toàn tình huống dễ</t>
        </is>
      </c>
      <c r="F7" s="12" t="n"/>
    </row>
    <row r="8" ht="33" customHeight="1" s="22">
      <c r="A8" s="26" t="inlineStr">
        <is>
          <t>X4</t>
        </is>
      </c>
      <c r="B8" s="16" t="n">
        <v>1.5</v>
      </c>
      <c r="C8" s="28" t="inlineStr">
        <is>
          <t>Đúng bước và đúng mã lỗi gốc ở cả 3 vết (0,25 điểm mỗi ô đúng)</t>
        </is>
      </c>
      <c r="D8" s="28" t="inlineStr">
        <is>
          <t>Đúng một trong hai ô (bước hoặc mã) ở mỗi vết</t>
        </is>
      </c>
      <c r="E8" s="28" t="inlineStr">
        <is>
          <t>Sai cả bước và mã; cột “Nên sửa ở đâu” chỉ để nhận xét, không tính điểm</t>
        </is>
      </c>
      <c r="F8" s="12" t="n"/>
    </row>
    <row r="9" ht="48" customHeight="1" s="22">
      <c r="A9" s="26" t="inlineStr">
        <is>
          <t>X5</t>
        </is>
      </c>
      <c r="B9" s="16" t="n">
        <v>2</v>
      </c>
      <c r="C9" s="28" t="inlineStr">
        <is>
          <t>4 tiêu chí nhị phân, có ví dụ sát ranh hai phía, bộ chấm đúng căn cứ kiểm chứng, có ngưỡng (0,5 mỗi tiêu chí)</t>
        </is>
      </c>
      <c r="D9" s="28" t="inlineStr">
        <is>
          <t>Thiếu ví dụ sát ranh hoặc thiếu ngưỡng</t>
        </is>
      </c>
      <c r="E9" s="28" t="inlineStr">
        <is>
          <t>Dùng từ mơ hồ ("phù hợp", "hợp lý") hoặc thang điểm</t>
        </is>
      </c>
      <c r="F9" s="12" t="n"/>
    </row>
    <row r="10" ht="33" customHeight="1" s="22">
      <c r="A10" s="26" t="inlineStr">
        <is>
          <t>X6</t>
        </is>
      </c>
      <c r="B10" s="16" t="n">
        <v>1</v>
      </c>
      <c r="C10" s="28" t="inlineStr">
        <is>
          <t>Đếm đúng 4 ô, TPR và TNR đúng, chọn đúng kết luận B</t>
        </is>
      </c>
      <c r="D10" s="28" t="inlineStr">
        <is>
          <t>Số đúng nhưng kết luận sai</t>
        </is>
      </c>
      <c r="E10" s="28" t="inlineStr">
        <is>
          <t>Đếm sai ô</t>
        </is>
      </c>
      <c r="F10" s="12" t="n"/>
    </row>
    <row r="11" ht="48" customHeight="1" s="22">
      <c r="A11" s="26" t="inlineStr">
        <is>
          <t>X7</t>
        </is>
      </c>
      <c r="B11" s="16" t="n">
        <v>1.5</v>
      </c>
      <c r="C11" s="28" t="inlineStr">
        <is>
          <t>Chọn Phát hành, kế hoạch có mẫu %, 3 tín hiệu, ngưỡng cảnh báo bằng số; trả lời đúng 3 câu số liệu</t>
        </is>
      </c>
      <c r="D11" s="28" t="inlineStr">
        <is>
          <t>Đúng kết luận, kế hoạch thiếu số</t>
        </is>
      </c>
      <c r="E11" s="28" t="inlineStr">
        <is>
          <t>Chọn Lặp tiếp vì Ghi nhận cảm xúc giảm 2 điểm (đó là nhiễu)</t>
        </is>
      </c>
      <c r="F11" s="12" t="n"/>
    </row>
    <row r="12" ht="18" customHeight="1" s="22">
      <c r="A12" s="26" t="inlineStr">
        <is>
          <t>Tổng</t>
        </is>
      </c>
      <c r="B12" s="17">
        <f>SUM(B5:B11)</f>
        <v/>
      </c>
      <c r="F12" s="18">
        <f>IF(COUNT(F5:F11)=0,"",SUM(F5:F11))</f>
        <v/>
      </c>
    </row>
  </sheetData>
  <sheetProtection selectLockedCells="0" selectUnlockedCells="0" sheet="1" objects="0" insertRows="1" insertHyperlinks="1" autoFilter="1" scenarios="0" formatColumns="1" deleteColumns="1" insertColumns="1" pivotTables="1" deleteRows="1" formatCells="1" formatRows="1" sort="1" password="C716"/>
  <mergeCells count="1">
    <mergeCell ref="A2:F2"/>
  </mergeCells>
  <pageMargins left="0.75" right="0.75" top="1" bottom="1" header="0.511811023622047" footer="0.511811023622047"/>
  <pageSetup orientation="landscape" paperSize="9" fitToHeight="0" horizontalDpi="300" verticalDpi="300"/>
</worksheet>
</file>

<file path=xl/worksheets/sheet10.xml><?xml version="1.0" encoding="utf-8"?>
<worksheet xmlns="http://schemas.openxmlformats.org/spreadsheetml/2006/main">
  <sheetPr>
    <outlinePr summaryBelow="1" summaryRight="1"/>
    <pageSetUpPr fitToPage="1"/>
  </sheetPr>
  <dimension ref="A1:D17"/>
  <sheetViews>
    <sheetView zoomScaleNormal="100" workbookViewId="0">
      <selection activeCell="A1" sqref="A1"/>
    </sheetView>
  </sheetViews>
  <sheetFormatPr baseColWidth="8" defaultColWidth="8.7109375" defaultRowHeight="15"/>
  <cols>
    <col width="12" customWidth="1" style="22" min="1" max="1"/>
    <col width="52" customWidth="1" style="22" min="2" max="2"/>
    <col width="14" customWidth="1" style="22" min="3" max="3"/>
    <col width="12" customWidth="1" style="22" min="4" max="4"/>
  </cols>
  <sheetData>
    <row r="1" ht="17.45" customHeight="1" s="22">
      <c r="A1" s="1" t="inlineStr">
        <is>
          <t>Tổng hợp kết quả tự kiểm tra</t>
        </is>
      </c>
    </row>
    <row r="3" ht="18" customHeight="1" s="22">
      <c r="A3" s="29" t="inlineStr">
        <is>
          <t>Bài</t>
        </is>
      </c>
      <c r="B3" s="29" t="inlineStr">
        <is>
          <t>Nội dung</t>
        </is>
      </c>
      <c r="C3" s="29" t="inlineStr">
        <is>
          <t>Số câu đúng</t>
        </is>
      </c>
      <c r="D3" s="29" t="inlineStr">
        <is>
          <t>Tổng số câu</t>
        </is>
      </c>
    </row>
    <row r="4" ht="18" customHeight="1" s="22">
      <c r="A4" s="26" t="inlineStr">
        <is>
          <t>Bài 1</t>
        </is>
      </c>
      <c r="B4" s="28" t="inlineStr">
        <is>
          <t>Đọc báo cáo đánh giá và thu hẹp phạm vi</t>
        </is>
      </c>
      <c r="C4" s="13">
        <f>'Bài 1'!C29</f>
        <v/>
      </c>
      <c r="D4" s="19" t="n">
        <v>9</v>
      </c>
    </row>
    <row r="5" ht="18" customHeight="1" s="22">
      <c r="A5" s="26" t="inlineStr">
        <is>
          <t>Bài 2</t>
        </is>
      </c>
      <c r="B5" s="28" t="inlineStr">
        <is>
          <t>Phủ ca và chọn tình huống</t>
        </is>
      </c>
      <c r="C5" s="13">
        <f>'Bài 2'!C25</f>
        <v/>
      </c>
      <c r="D5" s="19" t="n">
        <v>14</v>
      </c>
    </row>
    <row r="6" ht="18" customHeight="1" s="22">
      <c r="A6" s="26" t="inlineStr">
        <is>
          <t>Bài 3</t>
        </is>
      </c>
      <c r="B6" s="28" t="inlineStr">
        <is>
          <t>Đọc vết thực thi, tìm bước sai đầu tiên</t>
        </is>
      </c>
      <c r="C6" s="13">
        <f>'Bài 3'!C39</f>
        <v/>
      </c>
      <c r="D6" s="19" t="n">
        <v>9</v>
      </c>
    </row>
    <row r="7" ht="18" customHeight="1" s="22">
      <c r="A7" s="26" t="inlineStr">
        <is>
          <t>Bài 4</t>
        </is>
      </c>
      <c r="B7" s="28" t="inlineStr">
        <is>
          <t>Chọn cách chấm và ra kết luận</t>
        </is>
      </c>
      <c r="C7" s="13">
        <f>'Bài 4'!C33</f>
        <v/>
      </c>
      <c r="D7" s="19" t="n">
        <v>15</v>
      </c>
    </row>
    <row r="8" ht="18" customHeight="1" s="22">
      <c r="A8" s="26" t="inlineStr">
        <is>
          <t>Bài 5</t>
        </is>
      </c>
      <c r="B8" s="28" t="inlineStr">
        <is>
          <t>Hiệu chỉnh giám khảo AI</t>
        </is>
      </c>
      <c r="C8" s="13">
        <f>'Bài 5'!C44</f>
        <v/>
      </c>
      <c r="D8" s="19" t="n">
        <v>18</v>
      </c>
    </row>
    <row r="10" ht="18" customHeight="1" s="22">
      <c r="A10" s="31" t="inlineStr">
        <is>
          <t>Xưởng · các ô tự kiểm tra</t>
        </is>
      </c>
    </row>
    <row r="11" ht="18" customHeight="1" s="22">
      <c r="A11" s="26" t="inlineStr">
        <is>
          <t>X1</t>
        </is>
      </c>
      <c r="B11" s="28" t="inlineStr">
        <is>
          <t>Đơn vị công việc AI</t>
        </is>
      </c>
      <c r="C11" s="20">
        <f>Xưởng!G7</f>
        <v/>
      </c>
    </row>
    <row r="12" ht="18" customHeight="1" s="22">
      <c r="A12" s="26" t="inlineStr">
        <is>
          <t>X2</t>
        </is>
      </c>
      <c r="B12" s="28" t="inlineStr">
        <is>
          <t>Chiều và phễu</t>
        </is>
      </c>
      <c r="C12" s="20">
        <f>Xưởng!D20</f>
        <v/>
      </c>
    </row>
    <row r="13" ht="18" customHeight="1" s="22">
      <c r="A13" s="26" t="inlineStr">
        <is>
          <t>X3</t>
        </is>
      </c>
      <c r="B13" s="28" t="inlineStr">
        <is>
          <t>8 tình huống</t>
        </is>
      </c>
      <c r="C13" s="20">
        <f>Xưởng!C36</f>
        <v/>
      </c>
    </row>
    <row r="14" ht="18" customHeight="1" s="22">
      <c r="A14" s="26" t="inlineStr">
        <is>
          <t>X4</t>
        </is>
      </c>
      <c r="B14" s="28" t="inlineStr">
        <is>
          <t>Đọc 3 vết thực thi mới</t>
        </is>
      </c>
      <c r="C14" s="13">
        <f>COUNTIF(Xưởng!F56:G58,"Đúng")</f>
        <v/>
      </c>
      <c r="D14" s="28" t="inlineStr">
        <is>
          <t>/ 6 ô</t>
        </is>
      </c>
    </row>
    <row r="15" ht="18" customHeight="1" s="22">
      <c r="A15" s="26" t="inlineStr">
        <is>
          <t>X5</t>
        </is>
      </c>
      <c r="B15" s="28" t="inlineStr">
        <is>
          <t>4 tiêu chí nhị phân</t>
        </is>
      </c>
      <c r="C15" s="20">
        <f>Xưởng!C67</f>
        <v/>
      </c>
    </row>
    <row r="16" ht="18" customHeight="1" s="22">
      <c r="A16" s="26" t="inlineStr">
        <is>
          <t>X6</t>
        </is>
      </c>
      <c r="B16" s="28" t="inlineStr">
        <is>
          <t>Hiệu chỉnh giám khảo</t>
        </is>
      </c>
      <c r="C16" s="13">
        <f>COUNTIF(Xưởng!G72:G84,"Đúng")</f>
        <v/>
      </c>
      <c r="D16" s="28" t="inlineStr">
        <is>
          <t>/ 5 ô</t>
        </is>
      </c>
    </row>
    <row r="17" ht="18" customHeight="1" s="22">
      <c r="A17" s="26" t="inlineStr">
        <is>
          <t>X7</t>
        </is>
      </c>
      <c r="B17" s="28" t="inlineStr">
        <is>
          <t>Kết luận có răng</t>
        </is>
      </c>
      <c r="C17" s="13">
        <f>COUNTIF(Xưởng!D105:D112,"Đúng")</f>
        <v/>
      </c>
      <c r="D17" s="28" t="inlineStr">
        <is>
          <t>/ 4 ô</t>
        </is>
      </c>
    </row>
  </sheetData>
  <sheetProtection selectLockedCells="0" selectUnlockedCells="0" sheet="1" objects="0" insertRows="1" insertHyperlinks="1" autoFilter="1" scenarios="0" formatColumns="1" deleteColumns="1" insertColumns="1" pivotTables="1" deleteRows="1" formatCells="1" formatRows="1" sort="1" password="C716"/>
  <mergeCells count="1">
    <mergeCell ref="A10:D10"/>
  </mergeCells>
  <pageMargins left="0.75" right="0.75" top="1" bottom="1" header="0.511811023622047" footer="0.511811023622047"/>
  <pageSetup orientation="landscape" paperSize="9" fitToHeight="0" horizontalDpi="300" verticalDpi="300"/>
</worksheet>
</file>

<file path=xl/worksheets/sheet11.xml><?xml version="1.0" encoding="utf-8"?>
<worksheet xmlns="http://schemas.openxmlformats.org/spreadsheetml/2006/main">
  <sheetPr>
    <outlinePr summaryBelow="1" summaryRight="1"/>
    <pageSetUpPr fitToPage="1"/>
  </sheetPr>
  <dimension ref="A1:N5"/>
  <sheetViews>
    <sheetView zoomScaleNormal="100" workbookViewId="0">
      <selection activeCell="A1" sqref="A1"/>
    </sheetView>
  </sheetViews>
  <sheetFormatPr baseColWidth="8" defaultColWidth="8.7109375" defaultRowHeight="15"/>
  <sheetData>
    <row r="1" ht="15" customHeight="1" s="22">
      <c r="A1" t="inlineStr">
        <is>
          <t>Có</t>
        </is>
      </c>
      <c r="B1" t="inlineStr">
        <is>
          <t>A</t>
        </is>
      </c>
      <c r="C1" t="inlineStr">
        <is>
          <t>Khoảng 100 ca</t>
        </is>
      </c>
      <c r="D1" t="inlineStr">
        <is>
          <t>Trục 1</t>
        </is>
      </c>
      <c r="E1" t="inlineStr">
        <is>
          <t>Đại diện</t>
        </is>
      </c>
      <c r="F1" t="inlineStr">
        <is>
          <t>wrong_intent</t>
        </is>
      </c>
      <c r="G1" t="inlineStr">
        <is>
          <t>Thiếu đặc tả → sửa câu lệnh</t>
        </is>
      </c>
      <c r="H1" t="inlineStr">
        <is>
          <t>Mã lệnh</t>
        </is>
      </c>
      <c r="I1" t="inlineStr">
        <is>
          <t>Đạt · đúng 1 nhãn</t>
        </is>
      </c>
      <c r="J1" t="inlineStr">
        <is>
          <t>Phát hành</t>
        </is>
      </c>
      <c r="K1" t="inlineStr">
        <is>
          <t>Sửa câu lệnh</t>
        </is>
      </c>
      <c r="L1" t="inlineStr">
        <is>
          <t>Cho qua lỗi</t>
        </is>
      </c>
      <c r="M1" t="inlineStr">
        <is>
          <t>Đúng</t>
        </is>
      </c>
      <c r="N1" t="inlineStr">
        <is>
          <t>Mã lệnh</t>
        </is>
      </c>
    </row>
    <row r="2" ht="15" customHeight="1" s="22">
      <c r="A2" t="inlineStr">
        <is>
          <t>Không</t>
        </is>
      </c>
      <c r="B2" t="inlineStr">
        <is>
          <t>B</t>
        </is>
      </c>
      <c r="C2" t="inlineStr">
        <is>
          <t>Khoảng 1.000 ca</t>
        </is>
      </c>
      <c r="D2" t="inlineStr">
        <is>
          <t>Trục 2</t>
        </is>
      </c>
      <c r="E2" t="inlineStr">
        <is>
          <t>Thử thách</t>
        </is>
      </c>
      <c r="F2" t="inlineStr">
        <is>
          <t>missing_lookup</t>
        </is>
      </c>
      <c r="G2" t="inlineStr">
        <is>
          <t>Thiếu năng lực hệ thống → sửa kỹ thuật</t>
        </is>
      </c>
      <c r="H2" t="inlineStr">
        <is>
          <t>Giám khảo AI</t>
        </is>
      </c>
      <c r="I2" t="inlineStr">
        <is>
          <t>Không đạt · không có nhãn hợp lệ</t>
        </is>
      </c>
      <c r="J2" t="inlineStr">
        <is>
          <t>Lặp tiếp</t>
        </is>
      </c>
      <c r="K2" t="inlineStr">
        <is>
          <t>Đổi mô hình</t>
        </is>
      </c>
      <c r="L2" t="inlineStr">
        <is>
          <t>Chặn nhầm</t>
        </is>
      </c>
      <c r="M2" t="inlineStr">
        <is>
          <t>Sai</t>
        </is>
      </c>
      <c r="N2" t="inlineStr">
        <is>
          <t>Giám khảo AI</t>
        </is>
      </c>
    </row>
    <row r="3" ht="15" customHeight="1" s="22">
      <c r="B3" t="inlineStr">
        <is>
          <t>C</t>
        </is>
      </c>
      <c r="C3" t="inlineStr">
        <is>
          <t>Khoảng 10.000 ca</t>
        </is>
      </c>
      <c r="D3" t="inlineStr">
        <is>
          <t>Trục 3</t>
        </is>
      </c>
      <c r="E3" t="inlineStr">
        <is>
          <t>Hồi quy nghiêm trọng</t>
        </is>
      </c>
      <c r="F3" t="inlineStr">
        <is>
          <t>premature_commit</t>
        </is>
      </c>
      <c r="G3" t="inlineStr">
        <is>
          <t>Lúc được lúc không → viết bài đánh giá tự động</t>
        </is>
      </c>
      <c r="H3" t="inlineStr">
        <is>
          <t>Người quyết</t>
        </is>
      </c>
      <c r="I3" t="inlineStr">
        <is>
          <t>Không đạt · nhiều hơn 1 nhãn</t>
        </is>
      </c>
      <c r="J3" t="inlineStr">
        <is>
          <t>Quay về bản cũ</t>
        </is>
      </c>
      <c r="K3" t="inlineStr">
        <is>
          <t>Đổi kiến trúc</t>
        </is>
      </c>
      <c r="N3" t="inlineStr">
        <is>
          <t>Người quyết</t>
        </is>
      </c>
    </row>
    <row r="4" ht="15" customHeight="1" s="22">
      <c r="F4" t="inlineStr">
        <is>
          <t>missing_escalation</t>
        </is>
      </c>
      <c r="N4" t="inlineStr">
        <is>
          <t>Mã lệnh (lời gọi công cụ) + người kiểm mẫu 10%</t>
        </is>
      </c>
    </row>
    <row r="5" ht="15" customHeight="1" s="22">
      <c r="F5" t="inlineStr">
        <is>
          <t>no_next_step</t>
        </is>
      </c>
    </row>
  </sheetData>
  <sheetProtection selectLockedCells="0" selectUnlockedCells="0" sheet="1" objects="0" insertRows="1" insertHyperlinks="1" autoFilter="1" scenarios="0" formatColumns="1" deleteColumns="1" insertColumns="1" pivotTables="1" deleteRows="1" formatCells="1" formatRows="1" sort="1" password="C716"/>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2026-10-14T16:05:47Z</dcterms:created>
  <dcterms:modified xmlns:dcterms="http://purl.org/dc/terms/" xmlns:xsi="http://www.w3.org/2001/XMLSchema-instance" xsi:type="dcterms:W3CDTF">2026-10-16T03:58:42Z</dcterms:modified>
  <cp:lastModifiedBy>hải store342</cp:lastModifiedBy>
  <cp:revision>0</cp:revision>
</cp:coreProperties>
</file>